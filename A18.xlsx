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"/>
    </mc:Choice>
  </mc:AlternateContent>
  <xr:revisionPtr revIDLastSave="0" documentId="13_ncr:1_{C63A7C01-6F25-4156-8316-916C8276DE06}" xr6:coauthVersionLast="47" xr6:coauthVersionMax="47" xr10:uidLastSave="{00000000-0000-0000-0000-000000000000}"/>
  <bookViews>
    <workbookView xWindow="-109" yWindow="-109" windowWidth="30648" windowHeight="18517" xr2:uid="{69F35491-17BF-4D07-9381-CB7802C42E2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F16" i="1"/>
  <c r="F17" i="1"/>
  <c r="F18" i="1"/>
  <c r="F19" i="1"/>
  <c r="F20" i="1"/>
  <c r="F21" i="1"/>
  <c r="F22" i="1"/>
  <c r="F23" i="1"/>
  <c r="F24" i="1"/>
  <c r="F25" i="1"/>
  <c r="D44" i="1"/>
  <c r="E44" i="1"/>
  <c r="F44" i="1" s="1"/>
  <c r="D43" i="1"/>
  <c r="E43" i="1"/>
  <c r="F43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1" i="1"/>
  <c r="F41" i="1" s="1"/>
  <c r="E42" i="1"/>
  <c r="F42" i="1" s="1"/>
  <c r="E40" i="1"/>
  <c r="F40" i="1" s="1"/>
  <c r="D40" i="1"/>
  <c r="D42" i="1"/>
  <c r="D41" i="1"/>
  <c r="D39" i="1"/>
  <c r="D38" i="1"/>
  <c r="D37" i="1"/>
  <c r="D36" i="1"/>
  <c r="D35" i="1"/>
  <c r="D31" i="1"/>
  <c r="D34" i="1"/>
  <c r="D32" i="1"/>
  <c r="D33" i="1"/>
  <c r="E25" i="1"/>
  <c r="H25" i="1"/>
  <c r="H24" i="1"/>
  <c r="E24" i="1"/>
  <c r="H17" i="1"/>
  <c r="E17" i="1"/>
  <c r="H18" i="1"/>
  <c r="E18" i="1"/>
  <c r="H19" i="1"/>
  <c r="E19" i="1"/>
  <c r="H20" i="1"/>
  <c r="E20" i="1"/>
  <c r="E23" i="1"/>
  <c r="H23" i="1"/>
  <c r="E22" i="1"/>
  <c r="H22" i="1"/>
  <c r="E21" i="1"/>
  <c r="H21" i="1"/>
  <c r="H16" i="1"/>
  <c r="E16" i="1"/>
  <c r="F10" i="1"/>
  <c r="H10" i="1"/>
  <c r="E10" i="1"/>
  <c r="F9" i="1"/>
  <c r="H9" i="1"/>
  <c r="E9" i="1"/>
  <c r="E8" i="1"/>
  <c r="H8" i="1"/>
  <c r="F8" i="1"/>
  <c r="H7" i="1"/>
  <c r="E4" i="1"/>
  <c r="F4" i="1"/>
  <c r="E5" i="1"/>
  <c r="F5" i="1"/>
  <c r="E6" i="1"/>
  <c r="F6" i="1"/>
  <c r="E7" i="1"/>
  <c r="F7" i="1"/>
  <c r="F3" i="1"/>
  <c r="E3" i="1"/>
  <c r="H4" i="1"/>
  <c r="H5" i="1"/>
  <c r="H6" i="1"/>
  <c r="H3" i="1"/>
</calcChain>
</file>

<file path=xl/sharedStrings.xml><?xml version="1.0" encoding="utf-8"?>
<sst xmlns="http://schemas.openxmlformats.org/spreadsheetml/2006/main" count="22" uniqueCount="20">
  <si>
    <t>Periodendauer1</t>
  </si>
  <si>
    <t>Periodendauer2</t>
  </si>
  <si>
    <t>Messung1 (s)</t>
  </si>
  <si>
    <t>Messung2 (s)</t>
  </si>
  <si>
    <t>diff</t>
  </si>
  <si>
    <t>(justier oben)</t>
  </si>
  <si>
    <t>x (mm)</t>
  </si>
  <si>
    <t>Messung 1 (s)</t>
  </si>
  <si>
    <t>Messung 2 (s)</t>
  </si>
  <si>
    <t>Periodendauer 1</t>
  </si>
  <si>
    <t>Periodendauer 2</t>
  </si>
  <si>
    <t>Spalte1</t>
  </si>
  <si>
    <t>Variation x</t>
  </si>
  <si>
    <t>Variation Amplitude</t>
  </si>
  <si>
    <t>phi (mm)</t>
  </si>
  <si>
    <t>Messung (s)</t>
  </si>
  <si>
    <t>Periodendauer</t>
  </si>
  <si>
    <t>phi (°)</t>
  </si>
  <si>
    <t>phi ^2 (°^2)</t>
  </si>
  <si>
    <t>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</si>
</sst>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Tabelle1!$B$16:$B$25</c:f>
              <c:numCache>
                <c:formatCode>General</c:formatCode>
                <c:ptCount val="10"/>
                <c:pt idx="0">
                  <c:v>699</c:v>
                </c:pt>
                <c:pt idx="1">
                  <c:v>704.5</c:v>
                </c:pt>
                <c:pt idx="2">
                  <c:v>714.5</c:v>
                </c:pt>
                <c:pt idx="3">
                  <c:v>724.5</c:v>
                </c:pt>
                <c:pt idx="4">
                  <c:v>734.5</c:v>
                </c:pt>
                <c:pt idx="5">
                  <c:v>744.5</c:v>
                </c:pt>
                <c:pt idx="6">
                  <c:v>746</c:v>
                </c:pt>
                <c:pt idx="7">
                  <c:v>749</c:v>
                </c:pt>
                <c:pt idx="8">
                  <c:v>760</c:v>
                </c:pt>
                <c:pt idx="9">
                  <c:v>794.5</c:v>
                </c:pt>
              </c:numCache>
            </c:numRef>
          </c:xVal>
          <c:yVal>
            <c:numRef>
              <c:f>Tabelle1!$E$16:$E$25</c:f>
              <c:numCache>
                <c:formatCode>General</c:formatCode>
                <c:ptCount val="10"/>
                <c:pt idx="0">
                  <c:v>1.986</c:v>
                </c:pt>
                <c:pt idx="1">
                  <c:v>1.982</c:v>
                </c:pt>
                <c:pt idx="2">
                  <c:v>1.98</c:v>
                </c:pt>
                <c:pt idx="3">
                  <c:v>1.9760000000000002</c:v>
                </c:pt>
                <c:pt idx="4">
                  <c:v>1.972</c:v>
                </c:pt>
                <c:pt idx="5">
                  <c:v>1.97</c:v>
                </c:pt>
                <c:pt idx="6">
                  <c:v>1.968</c:v>
                </c:pt>
                <c:pt idx="7">
                  <c:v>1.968</c:v>
                </c:pt>
                <c:pt idx="8">
                  <c:v>1.964</c:v>
                </c:pt>
                <c:pt idx="9">
                  <c:v>1.954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AC-4846-8041-468A43AF00E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Tabelle1!$B$16:$B$25</c:f>
              <c:numCache>
                <c:formatCode>General</c:formatCode>
                <c:ptCount val="10"/>
                <c:pt idx="0">
                  <c:v>699</c:v>
                </c:pt>
                <c:pt idx="1">
                  <c:v>704.5</c:v>
                </c:pt>
                <c:pt idx="2">
                  <c:v>714.5</c:v>
                </c:pt>
                <c:pt idx="3">
                  <c:v>724.5</c:v>
                </c:pt>
                <c:pt idx="4">
                  <c:v>734.5</c:v>
                </c:pt>
                <c:pt idx="5">
                  <c:v>744.5</c:v>
                </c:pt>
                <c:pt idx="6">
                  <c:v>746</c:v>
                </c:pt>
                <c:pt idx="7">
                  <c:v>749</c:v>
                </c:pt>
                <c:pt idx="8">
                  <c:v>760</c:v>
                </c:pt>
                <c:pt idx="9">
                  <c:v>794.5</c:v>
                </c:pt>
              </c:numCache>
            </c:numRef>
          </c:xVal>
          <c:yVal>
            <c:numRef>
              <c:f>Tabelle1!$F$16:$F$25</c:f>
              <c:numCache>
                <c:formatCode>General</c:formatCode>
                <c:ptCount val="10"/>
                <c:pt idx="0">
                  <c:v>1.98</c:v>
                </c:pt>
                <c:pt idx="1">
                  <c:v>1.978</c:v>
                </c:pt>
                <c:pt idx="2">
                  <c:v>1.976</c:v>
                </c:pt>
                <c:pt idx="3">
                  <c:v>1.974</c:v>
                </c:pt>
                <c:pt idx="4">
                  <c:v>1.972</c:v>
                </c:pt>
                <c:pt idx="5">
                  <c:v>1.97</c:v>
                </c:pt>
                <c:pt idx="6">
                  <c:v>1.97</c:v>
                </c:pt>
                <c:pt idx="7">
                  <c:v>1.97</c:v>
                </c:pt>
                <c:pt idx="8">
                  <c:v>1.97</c:v>
                </c:pt>
                <c:pt idx="9">
                  <c:v>1.966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AC-4846-8041-468A43AF0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090959"/>
        <c:axId val="1587844879"/>
      </c:scatterChart>
      <c:valAx>
        <c:axId val="194509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7844879"/>
        <c:crosses val="autoZero"/>
        <c:crossBetween val="midCat"/>
      </c:valAx>
      <c:valAx>
        <c:axId val="15878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5090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Tabelle1!$C$30</c:f>
              <c:strCache>
                <c:ptCount val="1"/>
                <c:pt idx="0">
                  <c:v>Messung (s)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Tabelle1!$C$31:$C$44</c:f>
              <c:numCache>
                <c:formatCode>General</c:formatCode>
                <c:ptCount val="14"/>
                <c:pt idx="0">
                  <c:v>9.85</c:v>
                </c:pt>
                <c:pt idx="1">
                  <c:v>9.85</c:v>
                </c:pt>
                <c:pt idx="2">
                  <c:v>9.85</c:v>
                </c:pt>
                <c:pt idx="3">
                  <c:v>9.85</c:v>
                </c:pt>
                <c:pt idx="4">
                  <c:v>9.85</c:v>
                </c:pt>
                <c:pt idx="5">
                  <c:v>9.86</c:v>
                </c:pt>
                <c:pt idx="6">
                  <c:v>9.86</c:v>
                </c:pt>
                <c:pt idx="7">
                  <c:v>9.85</c:v>
                </c:pt>
                <c:pt idx="8">
                  <c:v>9.85</c:v>
                </c:pt>
                <c:pt idx="9">
                  <c:v>9.86</c:v>
                </c:pt>
                <c:pt idx="10">
                  <c:v>9.8699999999999992</c:v>
                </c:pt>
                <c:pt idx="11">
                  <c:v>9.8800000000000008</c:v>
                </c:pt>
                <c:pt idx="12">
                  <c:v>9.89</c:v>
                </c:pt>
                <c:pt idx="13">
                  <c:v>9.9</c:v>
                </c:pt>
              </c:numCache>
            </c:numRef>
          </c:xVal>
          <c:yVal>
            <c:numRef>
              <c:f>Tabelle1!$E$31:$E$44</c:f>
              <c:numCache>
                <c:formatCode>General</c:formatCode>
                <c:ptCount val="14"/>
                <c:pt idx="0">
                  <c:v>2.1129643811228269</c:v>
                </c:pt>
                <c:pt idx="1">
                  <c:v>2.5444412130256069</c:v>
                </c:pt>
                <c:pt idx="2">
                  <c:v>2.9760624902242001</c:v>
                </c:pt>
                <c:pt idx="3">
                  <c:v>3.4078528791493263</c:v>
                </c:pt>
                <c:pt idx="4">
                  <c:v>3.839837133042856</c:v>
                </c:pt>
                <c:pt idx="5">
                  <c:v>4.7044867604805729</c:v>
                </c:pt>
                <c:pt idx="6">
                  <c:v>5.1372021916683543</c:v>
                </c:pt>
                <c:pt idx="7">
                  <c:v>5.5702116297656641</c:v>
                </c:pt>
                <c:pt idx="8">
                  <c:v>6.0035404591762811</c:v>
                </c:pt>
                <c:pt idx="9">
                  <c:v>8.6552710678596672</c:v>
                </c:pt>
                <c:pt idx="10">
                  <c:v>10.403947361892518</c:v>
                </c:pt>
                <c:pt idx="11">
                  <c:v>13.046022238972657</c:v>
                </c:pt>
                <c:pt idx="12">
                  <c:v>15.269283367793342</c:v>
                </c:pt>
                <c:pt idx="13">
                  <c:v>17.516364292521324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F-4132-B3C0-702C201BF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135471"/>
        <c:axId val="1946022799"/>
      </c:scatterChart>
      <c:valAx>
        <c:axId val="205513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6022799"/>
        <c:crosses val="autoZero"/>
        <c:crossBetween val="midCat"/>
      </c:valAx>
      <c:valAx>
        <c:axId val="194602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513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396924</xdr:colOff>
      <xdr:row>4</xdr:row>
      <xdr:rowOff>99875</xdr:rowOff>
    </xdr:from>
    <xdr:to>
      <xdr:col>20</xdr:col>
      <xdr:colOff>393963</xdr:colOff>
      <xdr:row>36</xdr:row>
      <xdr:rowOff>5829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18D6A7B-F9DA-4763-28A4-3245BC7B9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43401</xdr:colOff>
      <xdr:row>30</xdr:row>
      <xdr:rowOff>40607</xdr:rowOff>
    </xdr:from>
    <xdr:to>
      <xdr:col>13</xdr:col>
      <xdr:colOff>266075</xdr:colOff>
      <xdr:row>45</xdr:row>
      <xdr:rowOff>18088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D6636DA1-7B52-7A66-FEC0-0E442012C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3D50B4-7857-47D8-A184-E390E476EBC9}" name="Tabelle2" displayName="Tabelle2" ref="B15:H25" totalsRowShown="0">
  <autoFilter ref="B15:H25" xr:uid="{F63D50B4-7857-47D8-A184-E390E476EBC9}"/>
  <sortState xmlns:xlrd2="http://schemas.microsoft.com/office/spreadsheetml/2017/richdata2" ref="B16:H24">
    <sortCondition ref="B15:B24"/>
  </sortState>
  <tableColumns count="7">
    <tableColumn id="1" xr3:uid="{C9057475-423A-4111-BBD7-9E77476846BE}" name="x (mm)"/>
    <tableColumn id="2" xr3:uid="{EDB8224A-65B2-4565-A7FC-2C8C0F582097}" name="Messung 1 (s)"/>
    <tableColumn id="3" xr3:uid="{B7DBF13F-54C5-46AE-A848-AE7079B97086}" name="Messung 2 (s)"/>
    <tableColumn id="4" xr3:uid="{4D665C49-FB0B-419A-B8A9-97AD5C6C3A0F}" name="Periodendauer 1">
      <calculatedColumnFormula>C16/(5)</calculatedColumnFormula>
    </tableColumn>
    <tableColumn id="5" xr3:uid="{A8045DE8-379B-4364-9397-DFEC80BCF029}" name="Periodendauer 2" dataDxfId="1">
      <calculatedColumnFormula>ROUND(D16/(5),8)</calculatedColumnFormula>
    </tableColumn>
    <tableColumn id="6" xr3:uid="{0EC4954A-0954-46C8-AD2E-EE1C9D2FD9C4}" name="Spalte1"/>
    <tableColumn id="7" xr3:uid="{43BB075D-93D3-4B1F-9D90-FB111F848145}" name="diff">
      <calculatedColumnFormula>C16-D16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E28D87-0CB1-481B-89BB-AA9D47E001F8}" name="Tabelle4" displayName="Tabelle4" ref="B30:G45" totalsRowShown="0">
  <autoFilter ref="B30:G45" xr:uid="{F1E28D87-0CB1-481B-89BB-AA9D47E001F8}"/>
  <sortState xmlns:xlrd2="http://schemas.microsoft.com/office/spreadsheetml/2017/richdata2" ref="B31:E45">
    <sortCondition ref="B30:B45"/>
  </sortState>
  <tableColumns count="6">
    <tableColumn id="1" xr3:uid="{8F3B3F41-3A86-417C-9959-00E15DD3140B}" name="phi (mm)"/>
    <tableColumn id="2" xr3:uid="{A0E36AB6-E61F-4BB1-83D6-417B2B2ECE56}" name="Messung (s)"/>
    <tableColumn id="3" xr3:uid="{914093F1-330D-435D-8583-AE30C98432B9}" name="Periodendauer">
      <calculatedColumnFormula>C31/5</calculatedColumnFormula>
    </tableColumn>
    <tableColumn id="4" xr3:uid="{FAABFD4D-E5C0-405A-A8F4-6E6BA3D72BD4}" name="phi (°)" dataDxfId="3">
      <calculatedColumnFormula>DEGREES(ASIN(B31/1329))</calculatedColumnFormula>
    </tableColumn>
    <tableColumn id="5" xr3:uid="{BD4FFCD2-F927-4E34-B6C5-6D50A53EE661}" name="phi ^2 (°^2)" dataDxfId="2">
      <calculatedColumnFormula>Tabelle4[[#This Row],[phi (°)]]^2</calculatedColumnFormula>
    </tableColumn>
    <tableColumn id="6" xr3:uid="{FD69593C-BB0F-4421-9A30-A8C85949CFA3}" name="/16" dataDxfId="0">
      <calculatedColumnFormula>RADIANS(Tabelle4[[#This Row],[phi ^2 (°^2)]])/16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F791-1B5A-4072-A073-2E8A560029FA}">
  <dimension ref="B1:H45"/>
  <sheetViews>
    <sheetView tabSelected="1" topLeftCell="C24" zoomScale="146" workbookViewId="0">
      <selection activeCell="H50" sqref="H50"/>
    </sheetView>
  </sheetViews>
  <sheetFormatPr baseColWidth="10" defaultRowHeight="14.3" x14ac:dyDescent="0.25"/>
  <cols>
    <col min="3" max="3" width="16" customWidth="1"/>
    <col min="4" max="4" width="14.375" customWidth="1"/>
    <col min="5" max="6" width="16" customWidth="1"/>
    <col min="8" max="8" width="8.125" customWidth="1"/>
  </cols>
  <sheetData>
    <row r="1" spans="2:8" x14ac:dyDescent="0.25">
      <c r="C1" t="s">
        <v>5</v>
      </c>
    </row>
    <row r="2" spans="2:8" x14ac:dyDescent="0.25">
      <c r="B2" t="s">
        <v>6</v>
      </c>
      <c r="C2" t="s">
        <v>2</v>
      </c>
      <c r="D2" t="s">
        <v>3</v>
      </c>
      <c r="E2" t="s">
        <v>0</v>
      </c>
      <c r="F2" t="s">
        <v>1</v>
      </c>
      <c r="H2" t="s">
        <v>4</v>
      </c>
    </row>
    <row r="3" spans="2:8" x14ac:dyDescent="0.25">
      <c r="B3">
        <v>699</v>
      </c>
      <c r="C3">
        <v>9.92</v>
      </c>
      <c r="D3">
        <v>10.27</v>
      </c>
      <c r="E3">
        <f>C3/(5)</f>
        <v>1.984</v>
      </c>
      <c r="F3">
        <f>ROUND(D3/(5),2)</f>
        <v>2.0499999999999998</v>
      </c>
      <c r="H3">
        <f>C3-D3</f>
        <v>-0.34999999999999964</v>
      </c>
    </row>
    <row r="4" spans="2:8" x14ac:dyDescent="0.25">
      <c r="C4">
        <v>11.09</v>
      </c>
      <c r="D4">
        <v>9.9</v>
      </c>
      <c r="E4">
        <f t="shared" ref="E4:E10" si="0">C4/(5)</f>
        <v>2.218</v>
      </c>
      <c r="F4">
        <f t="shared" ref="F4:F10" si="1">ROUND(D4/(5),2)</f>
        <v>1.98</v>
      </c>
      <c r="H4">
        <f t="shared" ref="H4:H10" si="2">C4-D4</f>
        <v>1.1899999999999995</v>
      </c>
    </row>
    <row r="5" spans="2:8" x14ac:dyDescent="0.25">
      <c r="C5">
        <v>9.93</v>
      </c>
      <c r="D5">
        <v>9.3000000000000007</v>
      </c>
      <c r="E5">
        <f t="shared" si="0"/>
        <v>1.986</v>
      </c>
      <c r="F5">
        <f t="shared" si="1"/>
        <v>1.86</v>
      </c>
      <c r="H5">
        <f t="shared" si="2"/>
        <v>0.62999999999999901</v>
      </c>
    </row>
    <row r="6" spans="2:8" x14ac:dyDescent="0.25">
      <c r="C6">
        <v>9.93</v>
      </c>
      <c r="D6">
        <v>9.3000000000000007</v>
      </c>
      <c r="E6">
        <f t="shared" si="0"/>
        <v>1.986</v>
      </c>
      <c r="F6">
        <f t="shared" si="1"/>
        <v>1.86</v>
      </c>
      <c r="H6">
        <f t="shared" si="2"/>
        <v>0.62999999999999901</v>
      </c>
    </row>
    <row r="7" spans="2:8" x14ac:dyDescent="0.25">
      <c r="B7">
        <v>749</v>
      </c>
      <c r="C7">
        <v>9.84</v>
      </c>
      <c r="D7">
        <v>9.85</v>
      </c>
      <c r="E7">
        <f t="shared" si="0"/>
        <v>1.968</v>
      </c>
      <c r="F7">
        <f t="shared" si="1"/>
        <v>1.97</v>
      </c>
      <c r="H7">
        <f t="shared" si="2"/>
        <v>-9.9999999999997868E-3</v>
      </c>
    </row>
    <row r="8" spans="2:8" x14ac:dyDescent="0.25">
      <c r="C8">
        <v>9.83</v>
      </c>
      <c r="D8">
        <v>9.85</v>
      </c>
      <c r="E8">
        <f t="shared" si="0"/>
        <v>1.966</v>
      </c>
      <c r="F8">
        <f t="shared" si="1"/>
        <v>1.97</v>
      </c>
      <c r="H8">
        <f t="shared" si="2"/>
        <v>-1.9999999999999574E-2</v>
      </c>
    </row>
    <row r="9" spans="2:8" x14ac:dyDescent="0.25">
      <c r="B9">
        <v>746</v>
      </c>
      <c r="C9">
        <v>9.84</v>
      </c>
      <c r="D9">
        <v>9.85</v>
      </c>
      <c r="E9">
        <f t="shared" si="0"/>
        <v>1.968</v>
      </c>
      <c r="F9">
        <f t="shared" si="1"/>
        <v>1.97</v>
      </c>
      <c r="H9">
        <f t="shared" si="2"/>
        <v>-9.9999999999997868E-3</v>
      </c>
    </row>
    <row r="10" spans="2:8" x14ac:dyDescent="0.25">
      <c r="B10">
        <v>744.5</v>
      </c>
      <c r="C10">
        <v>9.85</v>
      </c>
      <c r="D10">
        <v>9.85</v>
      </c>
      <c r="E10">
        <f t="shared" si="0"/>
        <v>1.97</v>
      </c>
      <c r="F10">
        <f t="shared" si="1"/>
        <v>1.97</v>
      </c>
      <c r="H10">
        <f t="shared" si="2"/>
        <v>0</v>
      </c>
    </row>
    <row r="14" spans="2:8" x14ac:dyDescent="0.25">
      <c r="B14" s="1" t="s">
        <v>12</v>
      </c>
      <c r="C14" s="1"/>
      <c r="D14" s="1"/>
      <c r="E14" s="1"/>
      <c r="F14" s="1"/>
      <c r="G14" s="1"/>
      <c r="H14" s="1"/>
    </row>
    <row r="15" spans="2:8" x14ac:dyDescent="0.25">
      <c r="B15" t="s">
        <v>6</v>
      </c>
      <c r="C15" t="s">
        <v>7</v>
      </c>
      <c r="D15" t="s">
        <v>8</v>
      </c>
      <c r="E15" t="s">
        <v>9</v>
      </c>
      <c r="F15" t="s">
        <v>10</v>
      </c>
      <c r="G15" t="s">
        <v>11</v>
      </c>
      <c r="H15" t="s">
        <v>4</v>
      </c>
    </row>
    <row r="16" spans="2:8" x14ac:dyDescent="0.25">
      <c r="B16">
        <v>699</v>
      </c>
      <c r="C16">
        <v>9.93</v>
      </c>
      <c r="D16">
        <v>9.9</v>
      </c>
      <c r="E16">
        <f>C16/(5)</f>
        <v>1.986</v>
      </c>
      <c r="F16">
        <f t="shared" ref="F16:F25" si="3">ROUND(D16/(5),8)</f>
        <v>1.98</v>
      </c>
      <c r="H16">
        <f>C16-D16</f>
        <v>2.9999999999999361E-2</v>
      </c>
    </row>
    <row r="17" spans="2:8" x14ac:dyDescent="0.25">
      <c r="B17">
        <v>704.5</v>
      </c>
      <c r="C17">
        <v>9.91</v>
      </c>
      <c r="D17">
        <v>9.89</v>
      </c>
      <c r="E17">
        <f>C17/(5)</f>
        <v>1.982</v>
      </c>
      <c r="F17">
        <f t="shared" si="3"/>
        <v>1.978</v>
      </c>
      <c r="H17">
        <f>C17-D17</f>
        <v>1.9999999999999574E-2</v>
      </c>
    </row>
    <row r="18" spans="2:8" x14ac:dyDescent="0.25">
      <c r="B18">
        <v>714.5</v>
      </c>
      <c r="C18">
        <v>9.9</v>
      </c>
      <c r="D18">
        <v>9.8800000000000008</v>
      </c>
      <c r="E18">
        <f>C18/(5)</f>
        <v>1.98</v>
      </c>
      <c r="F18">
        <f t="shared" si="3"/>
        <v>1.976</v>
      </c>
      <c r="H18">
        <f>C18-D18</f>
        <v>1.9999999999999574E-2</v>
      </c>
    </row>
    <row r="19" spans="2:8" x14ac:dyDescent="0.25">
      <c r="B19">
        <v>724.5</v>
      </c>
      <c r="C19">
        <v>9.8800000000000008</v>
      </c>
      <c r="D19">
        <v>9.8699999999999992</v>
      </c>
      <c r="E19">
        <f>C19/(5)</f>
        <v>1.9760000000000002</v>
      </c>
      <c r="F19">
        <f t="shared" si="3"/>
        <v>1.974</v>
      </c>
      <c r="H19">
        <f>C19-D19</f>
        <v>1.0000000000001563E-2</v>
      </c>
    </row>
    <row r="20" spans="2:8" x14ac:dyDescent="0.25">
      <c r="B20">
        <v>734.5</v>
      </c>
      <c r="C20">
        <v>9.86</v>
      </c>
      <c r="D20">
        <v>9.86</v>
      </c>
      <c r="E20">
        <f>C20/(5)</f>
        <v>1.972</v>
      </c>
      <c r="F20">
        <f t="shared" si="3"/>
        <v>1.972</v>
      </c>
      <c r="H20">
        <f>C20-D20</f>
        <v>0</v>
      </c>
    </row>
    <row r="21" spans="2:8" x14ac:dyDescent="0.25">
      <c r="B21">
        <v>744.5</v>
      </c>
      <c r="C21">
        <v>9.85</v>
      </c>
      <c r="D21">
        <v>9.85</v>
      </c>
      <c r="E21">
        <f>C21/(5)</f>
        <v>1.97</v>
      </c>
      <c r="F21">
        <f t="shared" si="3"/>
        <v>1.97</v>
      </c>
      <c r="H21">
        <f>C21-D21</f>
        <v>0</v>
      </c>
    </row>
    <row r="22" spans="2:8" x14ac:dyDescent="0.25">
      <c r="B22">
        <v>746</v>
      </c>
      <c r="C22">
        <v>9.84</v>
      </c>
      <c r="D22">
        <v>9.85</v>
      </c>
      <c r="E22">
        <f>C22/(5)</f>
        <v>1.968</v>
      </c>
      <c r="F22">
        <f t="shared" si="3"/>
        <v>1.97</v>
      </c>
      <c r="H22">
        <f>C22-D22</f>
        <v>-9.9999999999997868E-3</v>
      </c>
    </row>
    <row r="23" spans="2:8" x14ac:dyDescent="0.25">
      <c r="B23">
        <v>749</v>
      </c>
      <c r="C23">
        <v>9.84</v>
      </c>
      <c r="D23">
        <v>9.85</v>
      </c>
      <c r="E23">
        <f>C23/(5)</f>
        <v>1.968</v>
      </c>
      <c r="F23">
        <f t="shared" si="3"/>
        <v>1.97</v>
      </c>
      <c r="H23">
        <f>C23-D23</f>
        <v>-9.9999999999997868E-3</v>
      </c>
    </row>
    <row r="24" spans="2:8" x14ac:dyDescent="0.25">
      <c r="B24">
        <v>760</v>
      </c>
      <c r="C24">
        <v>9.82</v>
      </c>
      <c r="D24">
        <v>9.85</v>
      </c>
      <c r="E24">
        <f>C24/(5)</f>
        <v>1.964</v>
      </c>
      <c r="F24">
        <f t="shared" si="3"/>
        <v>1.97</v>
      </c>
      <c r="H24">
        <f>C24-D24</f>
        <v>-2.9999999999999361E-2</v>
      </c>
    </row>
    <row r="25" spans="2:8" x14ac:dyDescent="0.25">
      <c r="B25">
        <v>794.5</v>
      </c>
      <c r="C25">
        <v>9.77</v>
      </c>
      <c r="D25">
        <v>9.83</v>
      </c>
      <c r="E25">
        <f>C25/(5)</f>
        <v>1.954</v>
      </c>
      <c r="F25">
        <f t="shared" si="3"/>
        <v>1.966</v>
      </c>
      <c r="H25">
        <f>C25-D25</f>
        <v>-6.0000000000000497E-2</v>
      </c>
    </row>
    <row r="29" spans="2:8" x14ac:dyDescent="0.25">
      <c r="B29" t="s">
        <v>13</v>
      </c>
    </row>
    <row r="30" spans="2:8" x14ac:dyDescent="0.25"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</row>
    <row r="31" spans="2:8" x14ac:dyDescent="0.25">
      <c r="B31">
        <v>49</v>
      </c>
      <c r="C31">
        <v>9.85</v>
      </c>
      <c r="D31">
        <f>C31/5</f>
        <v>1.97</v>
      </c>
      <c r="E31">
        <f>DEGREES(ASIN(B31/1329))</f>
        <v>2.1129643811228269</v>
      </c>
      <c r="F31">
        <f>Tabelle4[[#This Row],[phi (°)]]^2</f>
        <v>4.4646184758937713</v>
      </c>
      <c r="G31">
        <f>RADIANS(Tabelle4[[#This Row],[phi ^2 (°^2)]])/16</f>
        <v>4.8701432656073369E-3</v>
      </c>
    </row>
    <row r="32" spans="2:8" x14ac:dyDescent="0.25">
      <c r="B32">
        <v>59</v>
      </c>
      <c r="C32">
        <v>9.85</v>
      </c>
      <c r="D32">
        <f>C32/5</f>
        <v>1.97</v>
      </c>
      <c r="E32">
        <f>DEGREES(ASIN(B32/1329))</f>
        <v>2.5444412130256069</v>
      </c>
      <c r="F32">
        <f>Tabelle4[[#This Row],[phi (°)]]^2</f>
        <v>6.4741810865432221</v>
      </c>
      <c r="G32">
        <f>RADIANS(Tabelle4[[#This Row],[phi ^2 (°^2)]])/16</f>
        <v>7.0622360206576982E-3</v>
      </c>
    </row>
    <row r="33" spans="2:7" x14ac:dyDescent="0.25">
      <c r="B33">
        <v>69</v>
      </c>
      <c r="C33">
        <v>9.85</v>
      </c>
      <c r="D33">
        <f>C33/5</f>
        <v>1.97</v>
      </c>
      <c r="E33">
        <f>DEGREES(ASIN(B33/1329))</f>
        <v>2.9760624902242001</v>
      </c>
      <c r="F33">
        <f>Tabelle4[[#This Row],[phi (°)]]^2</f>
        <v>8.8569479457194671</v>
      </c>
      <c r="G33">
        <f>RADIANS(Tabelle4[[#This Row],[phi ^2 (°^2)]])/16</f>
        <v>9.6614314581595449E-3</v>
      </c>
    </row>
    <row r="34" spans="2:7" x14ac:dyDescent="0.25">
      <c r="B34">
        <v>79</v>
      </c>
      <c r="C34">
        <v>9.85</v>
      </c>
      <c r="D34">
        <f>C34/5</f>
        <v>1.97</v>
      </c>
      <c r="E34">
        <f>DEGREES(ASIN(B34/1329))</f>
        <v>3.4078528791493263</v>
      </c>
      <c r="F34">
        <f>Tabelle4[[#This Row],[phi (°)]]^2</f>
        <v>11.613461245926352</v>
      </c>
      <c r="G34">
        <f>RADIANS(Tabelle4[[#This Row],[phi ^2 (°^2)]])/16</f>
        <v>1.266832101838611E-2</v>
      </c>
    </row>
    <row r="35" spans="2:7" x14ac:dyDescent="0.25">
      <c r="B35">
        <v>89</v>
      </c>
      <c r="C35">
        <v>9.85</v>
      </c>
      <c r="D35">
        <f>C35/5</f>
        <v>1.97</v>
      </c>
      <c r="E35">
        <f>DEGREES(ASIN(B35/1329))</f>
        <v>3.839837133042856</v>
      </c>
      <c r="F35">
        <f>Tabelle4[[#This Row],[phi (°)]]^2</f>
        <v>14.74434920829478</v>
      </c>
      <c r="G35">
        <f>RADIANS(Tabelle4[[#This Row],[phi ^2 (°^2)]])/16</f>
        <v>1.6083589984285197E-2</v>
      </c>
    </row>
    <row r="36" spans="2:7" x14ac:dyDescent="0.25">
      <c r="B36">
        <v>109</v>
      </c>
      <c r="C36">
        <v>9.86</v>
      </c>
      <c r="D36">
        <f>C36/5</f>
        <v>1.972</v>
      </c>
      <c r="E36">
        <f>DEGREES(ASIN(B36/1329))</f>
        <v>4.7044867604805729</v>
      </c>
      <c r="F36">
        <f>Tabelle4[[#This Row],[phi (°)]]^2</f>
        <v>22.132195679536995</v>
      </c>
      <c r="G36">
        <f>RADIANS(Tabelle4[[#This Row],[phi ^2 (°^2)]])/16</f>
        <v>2.4142480331474023E-2</v>
      </c>
    </row>
    <row r="37" spans="2:7" x14ac:dyDescent="0.25">
      <c r="B37">
        <v>119</v>
      </c>
      <c r="C37">
        <v>9.86</v>
      </c>
      <c r="D37">
        <f>C37/5</f>
        <v>1.972</v>
      </c>
      <c r="E37">
        <f>DEGREES(ASIN(B37/1329))</f>
        <v>5.1372021916683543</v>
      </c>
      <c r="F37">
        <f>Tabelle4[[#This Row],[phi (°)]]^2</f>
        <v>26.390846358082143</v>
      </c>
      <c r="G37">
        <f>RADIANS(Tabelle4[[#This Row],[phi ^2 (°^2)]])/16</f>
        <v>2.8787947583530489E-2</v>
      </c>
    </row>
    <row r="38" spans="2:7" x14ac:dyDescent="0.25">
      <c r="B38">
        <v>129</v>
      </c>
      <c r="C38">
        <v>9.85</v>
      </c>
      <c r="D38">
        <f>C38/5</f>
        <v>1.97</v>
      </c>
      <c r="E38" s="2">
        <f>DEGREES(ASIN(B38/1329))</f>
        <v>5.5702116297656641</v>
      </c>
      <c r="F38">
        <f>Tabelle4[[#This Row],[phi (°)]]^2</f>
        <v>31.027257600376657</v>
      </c>
      <c r="G38">
        <f>RADIANS(Tabelle4[[#This Row],[phi ^2 (°^2)]])/16</f>
        <v>3.3845487686937979E-2</v>
      </c>
    </row>
    <row r="39" spans="2:7" x14ac:dyDescent="0.25">
      <c r="B39">
        <v>139</v>
      </c>
      <c r="C39">
        <v>9.85</v>
      </c>
      <c r="D39">
        <f>C39/5</f>
        <v>1.97</v>
      </c>
      <c r="E39" s="2">
        <f>DEGREES(ASIN(B39/1329))</f>
        <v>6.0035404591762811</v>
      </c>
      <c r="F39">
        <f>Tabelle4[[#This Row],[phi (°)]]^2</f>
        <v>36.04249804496655</v>
      </c>
      <c r="G39">
        <f>RADIANS(Tabelle4[[#This Row],[phi ^2 (°^2)]])/16</f>
        <v>3.9316266345517846E-2</v>
      </c>
    </row>
    <row r="40" spans="2:7" x14ac:dyDescent="0.25">
      <c r="B40">
        <v>200</v>
      </c>
      <c r="C40">
        <v>9.86</v>
      </c>
      <c r="D40">
        <f>C40/5</f>
        <v>1.972</v>
      </c>
      <c r="E40" s="2">
        <f>DEGREES(ASIN(B40/1329))</f>
        <v>8.6552710678596672</v>
      </c>
      <c r="F40">
        <f>Tabelle4[[#This Row],[phi (°)]]^2</f>
        <v>74.913717258128628</v>
      </c>
      <c r="G40">
        <f>RADIANS(Tabelle4[[#This Row],[phi ^2 (°^2)]])/16</f>
        <v>8.1718188816402706E-2</v>
      </c>
    </row>
    <row r="41" spans="2:7" x14ac:dyDescent="0.25">
      <c r="B41">
        <v>240</v>
      </c>
      <c r="C41">
        <v>9.8699999999999992</v>
      </c>
      <c r="D41">
        <f>C41/5</f>
        <v>1.9739999999999998</v>
      </c>
      <c r="E41" s="2">
        <f>DEGREES(ASIN(B41/1329))</f>
        <v>10.403947361892518</v>
      </c>
      <c r="F41">
        <f>Tabelle4[[#This Row],[phi (°)]]^2</f>
        <v>108.24212070903029</v>
      </c>
      <c r="G41">
        <f>RADIANS(Tabelle4[[#This Row],[phi ^2 (°^2)]])/16</f>
        <v>0.11807383723210735</v>
      </c>
    </row>
    <row r="42" spans="2:7" x14ac:dyDescent="0.25">
      <c r="B42">
        <v>300</v>
      </c>
      <c r="C42">
        <v>9.8800000000000008</v>
      </c>
      <c r="D42">
        <f>C42/5</f>
        <v>1.9760000000000002</v>
      </c>
      <c r="E42" s="2">
        <f>DEGREES(ASIN(B42/1329))</f>
        <v>13.046022238972657</v>
      </c>
      <c r="F42">
        <f>Tabelle4[[#This Row],[phi (°)]]^2</f>
        <v>170.19869625976915</v>
      </c>
      <c r="G42">
        <f>RADIANS(Tabelle4[[#This Row],[phi ^2 (°^2)]])/16</f>
        <v>0.18565797702092063</v>
      </c>
    </row>
    <row r="43" spans="2:7" x14ac:dyDescent="0.25">
      <c r="B43">
        <v>350</v>
      </c>
      <c r="C43">
        <v>9.89</v>
      </c>
      <c r="D43">
        <f>C43/5</f>
        <v>1.9780000000000002</v>
      </c>
      <c r="E43" s="2">
        <f>DEGREES(ASIN(B43/1329))</f>
        <v>15.269283367793342</v>
      </c>
      <c r="F43">
        <f>Tabelle4[[#This Row],[phi (°)]]^2</f>
        <v>233.1510145659704</v>
      </c>
      <c r="G43">
        <f>RADIANS(Tabelle4[[#This Row],[phi ^2 (°^2)]])/16</f>
        <v>0.25432830365884007</v>
      </c>
    </row>
    <row r="44" spans="2:7" x14ac:dyDescent="0.25">
      <c r="B44">
        <v>400</v>
      </c>
      <c r="C44">
        <v>9.9</v>
      </c>
      <c r="D44">
        <f>C44/5</f>
        <v>1.98</v>
      </c>
      <c r="E44" s="2">
        <f>DEGREES(ASIN(B44/1329))</f>
        <v>17.516364292521324</v>
      </c>
      <c r="F44">
        <f>Tabelle4[[#This Row],[phi (°)]]^2</f>
        <v>306.82301802831608</v>
      </c>
      <c r="G44">
        <f>RADIANS(Tabelle4[[#This Row],[phi ^2 (°^2)]])/16</f>
        <v>0.33469199284375223</v>
      </c>
    </row>
    <row r="45" spans="2:7" x14ac:dyDescent="0.25">
      <c r="E45" s="2"/>
      <c r="G45">
        <f>RADIANS(Tabelle4[[#This Row],[phi ^2 (°^2)]])/16</f>
        <v>0</v>
      </c>
    </row>
  </sheetData>
  <mergeCells count="1">
    <mergeCell ref="B14:H14"/>
  </mergeCells>
  <pageMargins left="0.7" right="0.7" top="0.78740157499999996" bottom="0.78740157499999996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Gentner</dc:creator>
  <cp:lastModifiedBy>Oskar Gentner</cp:lastModifiedBy>
  <dcterms:created xsi:type="dcterms:W3CDTF">2026-09-17T07:14:59Z</dcterms:created>
  <dcterms:modified xsi:type="dcterms:W3CDTF">2026-09-17T16:09:17Z</dcterms:modified>
</cp:coreProperties>
</file>