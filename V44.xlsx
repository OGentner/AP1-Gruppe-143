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skar\Desktop\"/>
    </mc:Choice>
  </mc:AlternateContent>
  <xr:revisionPtr revIDLastSave="0" documentId="13_ncr:1_{676ABAFE-C3D0-4C84-9F38-DE79DF9AC91F}" xr6:coauthVersionLast="47" xr6:coauthVersionMax="47" xr10:uidLastSave="{00000000-0000-0000-0000-000000000000}"/>
  <bookViews>
    <workbookView xWindow="-109" yWindow="-109" windowWidth="30648" windowHeight="18517" activeTab="1" xr2:uid="{D5BDAF23-79F4-4D7D-A14F-26496FE39CDA}"/>
  </bookViews>
  <sheets>
    <sheet name="Teil 1" sheetId="1" r:id="rId1"/>
    <sheet name="Teil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2" i="1" l="1"/>
  <c r="T13" i="1"/>
  <c r="T14" i="1"/>
  <c r="T15" i="1"/>
  <c r="T11" i="1"/>
  <c r="T5" i="1"/>
  <c r="T6" i="1"/>
  <c r="T7" i="1"/>
  <c r="T8" i="1"/>
  <c r="T4" i="1"/>
  <c r="L5" i="1"/>
  <c r="L6" i="1"/>
  <c r="L7" i="1"/>
  <c r="L8" i="1"/>
  <c r="L11" i="1"/>
  <c r="L12" i="1"/>
  <c r="L13" i="1"/>
  <c r="L14" i="1"/>
  <c r="L15" i="1"/>
  <c r="L4" i="1"/>
  <c r="E11" i="1"/>
  <c r="E12" i="1"/>
  <c r="E13" i="1"/>
  <c r="E14" i="1"/>
  <c r="E15" i="1"/>
  <c r="E5" i="1"/>
  <c r="E6" i="1"/>
  <c r="E7" i="1"/>
  <c r="E8" i="1"/>
  <c r="E4" i="1"/>
  <c r="H3" i="2"/>
  <c r="H4" i="2"/>
  <c r="H5" i="2"/>
  <c r="H6" i="2"/>
  <c r="H7" i="2"/>
  <c r="H8" i="2"/>
  <c r="H9" i="2"/>
  <c r="H10" i="2"/>
  <c r="H11" i="2"/>
  <c r="H12" i="2"/>
  <c r="H2" i="2"/>
  <c r="U5" i="1"/>
  <c r="U6" i="1"/>
  <c r="U7" i="1"/>
  <c r="U8" i="1"/>
  <c r="U11" i="1"/>
  <c r="U12" i="1"/>
  <c r="U13" i="1"/>
  <c r="U14" i="1"/>
  <c r="U15" i="1"/>
  <c r="U4" i="1"/>
  <c r="M15" i="1"/>
  <c r="M5" i="1"/>
  <c r="M6" i="1"/>
  <c r="M7" i="1"/>
  <c r="M8" i="1"/>
  <c r="M11" i="1"/>
  <c r="M12" i="1"/>
  <c r="M13" i="1"/>
  <c r="M14" i="1"/>
  <c r="M4" i="1"/>
  <c r="F4" i="1"/>
  <c r="F8" i="1"/>
  <c r="F5" i="1"/>
  <c r="F6" i="1"/>
  <c r="F7" i="1"/>
  <c r="F11" i="1"/>
  <c r="F12" i="1"/>
  <c r="F13" i="1"/>
  <c r="F14" i="1"/>
  <c r="F15" i="1"/>
  <c r="A5" i="2"/>
  <c r="G3" i="2"/>
  <c r="G4" i="2"/>
  <c r="G5" i="2"/>
  <c r="G6" i="2"/>
  <c r="G7" i="2"/>
  <c r="G8" i="2"/>
  <c r="G9" i="2"/>
  <c r="G10" i="2"/>
  <c r="G11" i="2"/>
  <c r="G12" i="2"/>
  <c r="G2" i="2"/>
  <c r="W5" i="1"/>
</calcChain>
</file>

<file path=xl/sharedStrings.xml><?xml version="1.0" encoding="utf-8"?>
<sst xmlns="http://schemas.openxmlformats.org/spreadsheetml/2006/main" count="100" uniqueCount="30">
  <si>
    <t>V44</t>
  </si>
  <si>
    <t>Schaltung 1</t>
  </si>
  <si>
    <t>Volt Digital</t>
  </si>
  <si>
    <t>Ampere analog</t>
  </si>
  <si>
    <t>I (A)</t>
  </si>
  <si>
    <t xml:space="preserve"> U (V)</t>
  </si>
  <si>
    <t>250mA</t>
  </si>
  <si>
    <t>Bereich</t>
  </si>
  <si>
    <t>1A</t>
  </si>
  <si>
    <t>10A</t>
  </si>
  <si>
    <t>Volt Analog</t>
  </si>
  <si>
    <t>Ampere Digital</t>
  </si>
  <si>
    <t>U(V)</t>
  </si>
  <si>
    <t>I(A)</t>
  </si>
  <si>
    <t>Schaltung 2</t>
  </si>
  <si>
    <t>Volt analog</t>
  </si>
  <si>
    <t>2,5V</t>
  </si>
  <si>
    <t>Schaltun 3</t>
  </si>
  <si>
    <t>Wiederstand</t>
  </si>
  <si>
    <t>ev 0,06?</t>
  </si>
  <si>
    <t>1,7*10^(-8)</t>
  </si>
  <si>
    <t>Schaltung 3</t>
  </si>
  <si>
    <t>amper analog</t>
  </si>
  <si>
    <t xml:space="preserve">volt digital </t>
  </si>
  <si>
    <t>Mesung</t>
  </si>
  <si>
    <t>Länge</t>
  </si>
  <si>
    <t>Länge (m)</t>
  </si>
  <si>
    <t>spez R</t>
  </si>
  <si>
    <t>m</t>
  </si>
  <si>
    <t xml:space="preserve">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</si>
</sst>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165" fontId="0" fillId="0" borderId="0" xfId="0" applyNumberFormat="1"/>
    <xf numFmtId="2" fontId="0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'Teil 2'!$C$2:$C$12</c:f>
              <c:numCache>
                <c:formatCode>General</c:formatCode>
                <c:ptCount val="11"/>
                <c:pt idx="0">
                  <c:v>0.25600000000000001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xVal>
          <c:yVal>
            <c:numRef>
              <c:f>'Teil 2'!$D$2:$D$12</c:f>
              <c:numCache>
                <c:formatCode>General</c:formatCode>
                <c:ptCount val="11"/>
                <c:pt idx="0">
                  <c:v>0.10199999999999999</c:v>
                </c:pt>
                <c:pt idx="1">
                  <c:v>0.02</c:v>
                </c:pt>
                <c:pt idx="2">
                  <c:v>3.7999999999999999E-2</c:v>
                </c:pt>
                <c:pt idx="3">
                  <c:v>5.8000000000000003E-2</c:v>
                </c:pt>
                <c:pt idx="4">
                  <c:v>7.8E-2</c:v>
                </c:pt>
                <c:pt idx="5">
                  <c:v>0.1</c:v>
                </c:pt>
                <c:pt idx="6">
                  <c:v>0.11799999999999999</c:v>
                </c:pt>
                <c:pt idx="7">
                  <c:v>0.14000000000000001</c:v>
                </c:pt>
                <c:pt idx="8">
                  <c:v>0.157</c:v>
                </c:pt>
                <c:pt idx="9">
                  <c:v>0.17799999999999999</c:v>
                </c:pt>
                <c:pt idx="10">
                  <c:v>0.19600000000000001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86-4A2D-968F-192D568E4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2404688"/>
        <c:axId val="1813522736"/>
      </c:scatterChart>
      <c:valAx>
        <c:axId val="1822404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13522736"/>
        <c:crosses val="autoZero"/>
        <c:crossBetween val="midCat"/>
      </c:valAx>
      <c:valAx>
        <c:axId val="181352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22404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498701</xdr:colOff>
      <xdr:row>2</xdr:row>
      <xdr:rowOff>174795</xdr:rowOff>
    </xdr:from>
    <xdr:to>
      <xdr:col>15</xdr:col>
      <xdr:colOff>515001</xdr:colOff>
      <xdr:row>17</xdr:row>
      <xdr:rowOff>175033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B989750-6D3E-9FF1-FC70-3EDEC497B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96F1D-3EB9-4E26-BDDF-038233605A4B}">
  <dimension ref="A1:W15"/>
  <sheetViews>
    <sheetView topLeftCell="M1" zoomScale="202" workbookViewId="0">
      <selection activeCell="R6" sqref="R6"/>
    </sheetView>
  </sheetViews>
  <sheetFormatPr baseColWidth="10" defaultColWidth="9" defaultRowHeight="14.3" x14ac:dyDescent="0.25"/>
  <cols>
    <col min="1" max="1" width="14" customWidth="1"/>
    <col min="6" max="6" width="13" bestFit="1" customWidth="1"/>
    <col min="8" max="8" width="13.875" customWidth="1"/>
    <col min="16" max="16" width="13" bestFit="1" customWidth="1"/>
    <col min="22" max="22" width="13" bestFit="1" customWidth="1"/>
  </cols>
  <sheetData>
    <row r="1" spans="1:23" x14ac:dyDescent="0.25">
      <c r="A1" t="s">
        <v>0</v>
      </c>
    </row>
    <row r="2" spans="1:23" x14ac:dyDescent="0.25">
      <c r="E2" t="s">
        <v>25</v>
      </c>
      <c r="F2">
        <v>0.58699999999999997</v>
      </c>
      <c r="G2" t="s">
        <v>28</v>
      </c>
      <c r="L2" t="s">
        <v>25</v>
      </c>
      <c r="M2">
        <v>0.57799999999999996</v>
      </c>
      <c r="N2" t="s">
        <v>28</v>
      </c>
      <c r="T2" t="s">
        <v>25</v>
      </c>
      <c r="U2">
        <v>0.25600000000000001</v>
      </c>
      <c r="V2" t="s">
        <v>28</v>
      </c>
    </row>
    <row r="3" spans="1:23" x14ac:dyDescent="0.25">
      <c r="A3" s="1" t="s">
        <v>1</v>
      </c>
      <c r="B3" t="s">
        <v>5</v>
      </c>
      <c r="C3" t="s">
        <v>4</v>
      </c>
      <c r="D3" t="s">
        <v>7</v>
      </c>
      <c r="E3" t="s">
        <v>18</v>
      </c>
      <c r="F3" t="s">
        <v>27</v>
      </c>
      <c r="H3" s="1" t="s">
        <v>14</v>
      </c>
      <c r="I3" t="s">
        <v>12</v>
      </c>
      <c r="J3" t="s">
        <v>13</v>
      </c>
      <c r="K3" t="s">
        <v>7</v>
      </c>
      <c r="L3" t="s">
        <v>18</v>
      </c>
      <c r="M3" t="s">
        <v>27</v>
      </c>
      <c r="P3" s="1" t="s">
        <v>17</v>
      </c>
      <c r="Q3" t="s">
        <v>12</v>
      </c>
      <c r="R3" t="s">
        <v>13</v>
      </c>
      <c r="S3" t="s">
        <v>7</v>
      </c>
      <c r="T3" t="s">
        <v>18</v>
      </c>
      <c r="U3" t="s">
        <v>27</v>
      </c>
    </row>
    <row r="4" spans="1:23" x14ac:dyDescent="0.25">
      <c r="A4" t="s">
        <v>2</v>
      </c>
      <c r="B4" s="2">
        <v>0.3</v>
      </c>
      <c r="C4" s="2">
        <v>0.11</v>
      </c>
      <c r="D4" t="s">
        <v>6</v>
      </c>
      <c r="E4" s="2">
        <f>ROUND(B4/C4,2)</f>
        <v>2.73</v>
      </c>
      <c r="F4">
        <f>ROUND((B4*(PI()*(0.00025/2)^2))/(C4*$F$2)*10^8,2)</f>
        <v>22.81</v>
      </c>
      <c r="H4" t="s">
        <v>2</v>
      </c>
      <c r="I4" s="3">
        <v>0.66</v>
      </c>
      <c r="J4" s="2">
        <v>0.19</v>
      </c>
      <c r="K4" t="s">
        <v>8</v>
      </c>
      <c r="L4" s="2">
        <f>ROUND(I4/J4,2)</f>
        <v>3.47</v>
      </c>
      <c r="M4" s="2">
        <f>ROUND((I4*(PI()*(0.00025/2)^2))/(J4*$F$2)*10^8,2)</f>
        <v>29.05</v>
      </c>
      <c r="N4" t="s">
        <v>19</v>
      </c>
      <c r="P4" t="s">
        <v>2</v>
      </c>
      <c r="Q4" s="3">
        <v>0.03</v>
      </c>
      <c r="R4" s="3">
        <v>0.31</v>
      </c>
      <c r="S4" t="s">
        <v>8</v>
      </c>
      <c r="T4" s="2">
        <f>ROUND(Q4/R4,3)</f>
        <v>9.7000000000000003E-2</v>
      </c>
      <c r="U4">
        <f>ROUND((Q4*(PI()*(0.00025/2)^2))/(R4*$F$2)*10^8,2)</f>
        <v>0.81</v>
      </c>
      <c r="W4" t="s">
        <v>20</v>
      </c>
    </row>
    <row r="5" spans="1:23" x14ac:dyDescent="0.25">
      <c r="A5" t="s">
        <v>3</v>
      </c>
      <c r="B5" s="2">
        <v>0.35</v>
      </c>
      <c r="C5" s="2">
        <v>0.37</v>
      </c>
      <c r="D5" t="s">
        <v>8</v>
      </c>
      <c r="E5" s="2">
        <f t="shared" ref="E5:E15" si="0">ROUND(B5/C5,2)</f>
        <v>0.95</v>
      </c>
      <c r="F5">
        <f t="shared" ref="F5:F15" si="1">ROUND((B5*(PI()*(0.00025/2)^2))/(C5*$F$2)*10^8,2)</f>
        <v>7.91</v>
      </c>
      <c r="H5" t="s">
        <v>3</v>
      </c>
      <c r="I5" s="3">
        <v>0.124</v>
      </c>
      <c r="J5" s="2">
        <v>0.35</v>
      </c>
      <c r="K5" t="s">
        <v>8</v>
      </c>
      <c r="L5" s="2">
        <f t="shared" ref="L5:L15" si="2">ROUND(I5/J5,2)</f>
        <v>0.35</v>
      </c>
      <c r="M5" s="2">
        <f t="shared" ref="M5:M14" si="3">ROUND((I5*(PI()*(0.00025/2)^2))/(J5*$F$2)*10^8,2)</f>
        <v>2.96</v>
      </c>
      <c r="P5" t="s">
        <v>3</v>
      </c>
      <c r="Q5" s="3">
        <v>5.5E-2</v>
      </c>
      <c r="R5" s="3">
        <v>0.57999999999999996</v>
      </c>
      <c r="S5" t="s">
        <v>8</v>
      </c>
      <c r="T5" s="2">
        <f t="shared" ref="T5:T8" si="4">ROUND(Q5/R5,2)</f>
        <v>0.09</v>
      </c>
      <c r="U5">
        <f t="shared" ref="U5:U15" si="5">ROUND((Q5*(PI()*(0.00025/2)^2))/(R5*$F$2)*10^8,2)</f>
        <v>0.79</v>
      </c>
      <c r="W5">
        <f>1.7*10^(-8)*(0.256)/(PI()*(0.00025/2)^2)</f>
        <v>8.8658215978998853E-2</v>
      </c>
    </row>
    <row r="6" spans="1:23" x14ac:dyDescent="0.25">
      <c r="B6" s="2">
        <v>0.5</v>
      </c>
      <c r="C6" s="2">
        <v>0.5</v>
      </c>
      <c r="D6" t="s">
        <v>8</v>
      </c>
      <c r="E6" s="2">
        <f t="shared" si="0"/>
        <v>1</v>
      </c>
      <c r="F6">
        <f t="shared" si="1"/>
        <v>8.36</v>
      </c>
      <c r="I6" s="3">
        <v>0.23100000000000001</v>
      </c>
      <c r="J6" s="2">
        <v>0.65</v>
      </c>
      <c r="K6" t="s">
        <v>8</v>
      </c>
      <c r="L6" s="2">
        <f t="shared" si="2"/>
        <v>0.36</v>
      </c>
      <c r="M6" s="2">
        <f t="shared" si="3"/>
        <v>2.97</v>
      </c>
      <c r="Q6" s="3">
        <v>0.09</v>
      </c>
      <c r="R6" s="3">
        <v>0.93</v>
      </c>
      <c r="S6" t="s">
        <v>8</v>
      </c>
      <c r="T6" s="2">
        <f t="shared" si="4"/>
        <v>0.1</v>
      </c>
      <c r="U6">
        <f t="shared" si="5"/>
        <v>0.81</v>
      </c>
    </row>
    <row r="7" spans="1:23" x14ac:dyDescent="0.25">
      <c r="B7" s="2">
        <v>0.44</v>
      </c>
      <c r="C7" s="2">
        <v>1.2</v>
      </c>
      <c r="D7" t="s">
        <v>9</v>
      </c>
      <c r="E7" s="2">
        <f t="shared" si="0"/>
        <v>0.37</v>
      </c>
      <c r="F7">
        <f t="shared" si="1"/>
        <v>3.07</v>
      </c>
      <c r="I7" s="3">
        <v>0.33800000000000002</v>
      </c>
      <c r="J7" s="2">
        <v>0.97</v>
      </c>
      <c r="K7" t="s">
        <v>8</v>
      </c>
      <c r="L7" s="2">
        <f t="shared" si="2"/>
        <v>0.35</v>
      </c>
      <c r="M7" s="2">
        <f t="shared" si="3"/>
        <v>2.91</v>
      </c>
      <c r="Q7" s="3">
        <v>0.13900000000000001</v>
      </c>
      <c r="R7" s="3">
        <v>1.4</v>
      </c>
      <c r="S7" t="s">
        <v>9</v>
      </c>
      <c r="T7" s="2">
        <f t="shared" si="4"/>
        <v>0.1</v>
      </c>
      <c r="U7">
        <f t="shared" si="5"/>
        <v>0.83</v>
      </c>
    </row>
    <row r="8" spans="1:23" x14ac:dyDescent="0.25">
      <c r="B8" s="2">
        <v>0.96</v>
      </c>
      <c r="C8" s="2">
        <v>2.5</v>
      </c>
      <c r="D8" t="s">
        <v>9</v>
      </c>
      <c r="E8" s="2">
        <f t="shared" si="0"/>
        <v>0.38</v>
      </c>
      <c r="F8">
        <f t="shared" si="1"/>
        <v>3.21</v>
      </c>
      <c r="I8" s="3">
        <v>0.48799999999999999</v>
      </c>
      <c r="J8" s="2">
        <v>1.4</v>
      </c>
      <c r="K8" t="s">
        <v>9</v>
      </c>
      <c r="L8" s="2">
        <f t="shared" si="2"/>
        <v>0.35</v>
      </c>
      <c r="M8" s="2">
        <f t="shared" si="3"/>
        <v>2.91</v>
      </c>
      <c r="Q8" s="3">
        <v>0.19900000000000001</v>
      </c>
      <c r="R8" s="3">
        <v>1.9</v>
      </c>
      <c r="S8" t="s">
        <v>9</v>
      </c>
      <c r="T8" s="2">
        <f t="shared" si="4"/>
        <v>0.1</v>
      </c>
      <c r="U8">
        <f t="shared" si="5"/>
        <v>0.88</v>
      </c>
    </row>
    <row r="9" spans="1:23" x14ac:dyDescent="0.25">
      <c r="E9" s="2"/>
      <c r="L9" s="2"/>
    </row>
    <row r="10" spans="1:23" x14ac:dyDescent="0.25">
      <c r="A10" t="s">
        <v>10</v>
      </c>
      <c r="B10" t="s">
        <v>12</v>
      </c>
      <c r="C10" t="s">
        <v>13</v>
      </c>
      <c r="D10" t="s">
        <v>7</v>
      </c>
      <c r="E10" s="2"/>
      <c r="H10" t="s">
        <v>15</v>
      </c>
      <c r="I10" t="s">
        <v>12</v>
      </c>
      <c r="J10" t="s">
        <v>13</v>
      </c>
      <c r="K10" t="s">
        <v>7</v>
      </c>
      <c r="L10" s="2"/>
      <c r="P10" t="s">
        <v>15</v>
      </c>
      <c r="Q10" t="s">
        <v>12</v>
      </c>
      <c r="R10" t="s">
        <v>13</v>
      </c>
      <c r="S10" t="s">
        <v>7</v>
      </c>
    </row>
    <row r="11" spans="1:23" x14ac:dyDescent="0.25">
      <c r="A11" t="s">
        <v>11</v>
      </c>
      <c r="B11" s="2">
        <v>0.25</v>
      </c>
      <c r="C11" s="2">
        <v>0.27</v>
      </c>
      <c r="D11" t="s">
        <v>16</v>
      </c>
      <c r="E11" s="2">
        <f t="shared" si="0"/>
        <v>0.93</v>
      </c>
      <c r="F11" s="2">
        <f t="shared" si="1"/>
        <v>7.74</v>
      </c>
      <c r="H11" t="s">
        <v>11</v>
      </c>
      <c r="I11" s="2">
        <v>0.06</v>
      </c>
      <c r="J11" s="3">
        <v>0.23300000000000001</v>
      </c>
      <c r="K11" t="s">
        <v>16</v>
      </c>
      <c r="L11" s="2">
        <f t="shared" si="2"/>
        <v>0.26</v>
      </c>
      <c r="M11" s="2">
        <f t="shared" si="3"/>
        <v>2.15</v>
      </c>
      <c r="P11" t="s">
        <v>11</v>
      </c>
      <c r="Q11">
        <v>0.03</v>
      </c>
      <c r="R11">
        <v>0.34899999999999998</v>
      </c>
      <c r="S11" t="s">
        <v>16</v>
      </c>
      <c r="T11" s="4">
        <f>ROUND(Q11/R11,3)</f>
        <v>8.5999999999999993E-2</v>
      </c>
      <c r="U11">
        <f t="shared" si="5"/>
        <v>0.72</v>
      </c>
    </row>
    <row r="12" spans="1:23" x14ac:dyDescent="0.25">
      <c r="B12" s="2">
        <v>0.3</v>
      </c>
      <c r="C12" s="2">
        <v>0.57099999999999995</v>
      </c>
      <c r="D12" t="s">
        <v>16</v>
      </c>
      <c r="E12" s="2">
        <f t="shared" si="0"/>
        <v>0.53</v>
      </c>
      <c r="F12" s="2">
        <f t="shared" si="1"/>
        <v>4.3899999999999997</v>
      </c>
      <c r="I12" s="2">
        <v>0.15</v>
      </c>
      <c r="J12" s="3">
        <v>0.438</v>
      </c>
      <c r="K12" t="s">
        <v>16</v>
      </c>
      <c r="L12" s="2">
        <f t="shared" si="2"/>
        <v>0.34</v>
      </c>
      <c r="M12" s="2">
        <f t="shared" si="3"/>
        <v>2.86</v>
      </c>
      <c r="Q12">
        <v>0.05</v>
      </c>
      <c r="R12">
        <v>0.66700000000000004</v>
      </c>
      <c r="S12" t="s">
        <v>16</v>
      </c>
      <c r="T12" s="4">
        <f t="shared" ref="T12:T15" si="6">ROUND(Q12/R12,3)</f>
        <v>7.4999999999999997E-2</v>
      </c>
      <c r="U12">
        <f t="shared" si="5"/>
        <v>0.63</v>
      </c>
    </row>
    <row r="13" spans="1:23" x14ac:dyDescent="0.25">
      <c r="B13" s="2">
        <v>0.49</v>
      </c>
      <c r="C13" s="2">
        <v>0.90800000000000003</v>
      </c>
      <c r="D13" t="s">
        <v>16</v>
      </c>
      <c r="E13" s="2">
        <f t="shared" si="0"/>
        <v>0.54</v>
      </c>
      <c r="F13" s="2">
        <f t="shared" si="1"/>
        <v>4.51</v>
      </c>
      <c r="I13" s="2">
        <v>0.24</v>
      </c>
      <c r="J13" s="3">
        <v>0.73899999999999999</v>
      </c>
      <c r="K13" t="s">
        <v>16</v>
      </c>
      <c r="L13" s="2">
        <f t="shared" si="2"/>
        <v>0.32</v>
      </c>
      <c r="M13" s="2">
        <f t="shared" si="3"/>
        <v>2.72</v>
      </c>
      <c r="Q13">
        <v>0.09</v>
      </c>
      <c r="R13">
        <v>1.024</v>
      </c>
      <c r="S13" t="s">
        <v>16</v>
      </c>
      <c r="T13" s="4">
        <f t="shared" si="6"/>
        <v>8.7999999999999995E-2</v>
      </c>
      <c r="U13">
        <f t="shared" si="5"/>
        <v>0.73</v>
      </c>
    </row>
    <row r="14" spans="1:23" x14ac:dyDescent="0.25">
      <c r="B14" s="2">
        <v>0.78</v>
      </c>
      <c r="C14" s="2">
        <v>1.484</v>
      </c>
      <c r="D14" t="s">
        <v>16</v>
      </c>
      <c r="E14" s="2">
        <f t="shared" si="0"/>
        <v>0.53</v>
      </c>
      <c r="F14" s="2">
        <f t="shared" si="1"/>
        <v>4.4000000000000004</v>
      </c>
      <c r="I14" s="2">
        <v>0.25</v>
      </c>
      <c r="J14" s="3">
        <v>0.85299999999999998</v>
      </c>
      <c r="K14" t="s">
        <v>16</v>
      </c>
      <c r="L14" s="2">
        <f t="shared" si="2"/>
        <v>0.28999999999999998</v>
      </c>
      <c r="M14" s="2">
        <f t="shared" si="3"/>
        <v>2.4500000000000002</v>
      </c>
      <c r="Q14">
        <v>0.14000000000000001</v>
      </c>
      <c r="R14">
        <v>1.4430000000000001</v>
      </c>
      <c r="S14" t="s">
        <v>16</v>
      </c>
      <c r="T14" s="4">
        <f t="shared" si="6"/>
        <v>9.7000000000000003E-2</v>
      </c>
      <c r="U14">
        <f t="shared" si="5"/>
        <v>0.81</v>
      </c>
    </row>
    <row r="15" spans="1:23" x14ac:dyDescent="0.25">
      <c r="B15" s="2">
        <v>1.02</v>
      </c>
      <c r="C15" s="2">
        <v>1.8979999999999999</v>
      </c>
      <c r="D15" t="s">
        <v>16</v>
      </c>
      <c r="E15" s="2">
        <f t="shared" si="0"/>
        <v>0.54</v>
      </c>
      <c r="F15" s="2">
        <f t="shared" si="1"/>
        <v>4.49</v>
      </c>
      <c r="I15" s="2">
        <v>0.56999999999999995</v>
      </c>
      <c r="J15" s="3">
        <v>1.778</v>
      </c>
      <c r="K15" t="s">
        <v>16</v>
      </c>
      <c r="L15" s="2">
        <f t="shared" si="2"/>
        <v>0.32</v>
      </c>
      <c r="M15" s="2">
        <f>ROUND((I15*(PI()*(0.00025/2)^2))/(J15*$F$2)*10^8,2)</f>
        <v>2.68</v>
      </c>
      <c r="Q15">
        <v>0.19</v>
      </c>
      <c r="R15">
        <v>1.948</v>
      </c>
      <c r="S15" t="s">
        <v>16</v>
      </c>
      <c r="T15" s="4">
        <f t="shared" si="6"/>
        <v>9.8000000000000004E-2</v>
      </c>
      <c r="U15">
        <f t="shared" si="5"/>
        <v>0.82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4F40F-34D8-4DC1-B90E-0B905DA0BB1D}">
  <dimension ref="A1:H12"/>
  <sheetViews>
    <sheetView tabSelected="1" zoomScale="217" workbookViewId="0">
      <selection activeCell="D15" sqref="D15"/>
    </sheetView>
  </sheetViews>
  <sheetFormatPr baseColWidth="10" defaultRowHeight="14.3" x14ac:dyDescent="0.25"/>
  <cols>
    <col min="1" max="1" width="11.875" bestFit="1" customWidth="1"/>
    <col min="8" max="8" width="12.25" bestFit="1" customWidth="1"/>
  </cols>
  <sheetData>
    <row r="1" spans="1:8" x14ac:dyDescent="0.25">
      <c r="A1" t="s">
        <v>21</v>
      </c>
      <c r="B1" t="s">
        <v>24</v>
      </c>
      <c r="C1" t="s">
        <v>26</v>
      </c>
      <c r="D1" t="s">
        <v>12</v>
      </c>
      <c r="E1" t="s">
        <v>13</v>
      </c>
      <c r="F1" t="s">
        <v>7</v>
      </c>
      <c r="G1" t="s">
        <v>18</v>
      </c>
      <c r="H1" t="s">
        <v>27</v>
      </c>
    </row>
    <row r="2" spans="1:8" x14ac:dyDescent="0.25">
      <c r="A2" t="s">
        <v>22</v>
      </c>
      <c r="B2">
        <v>1</v>
      </c>
      <c r="C2">
        <v>0.25600000000000001</v>
      </c>
      <c r="D2">
        <v>0.10199999999999999</v>
      </c>
      <c r="E2">
        <v>1</v>
      </c>
      <c r="F2" t="s">
        <v>9</v>
      </c>
      <c r="G2">
        <f>D2/E2</f>
        <v>0.10199999999999999</v>
      </c>
      <c r="H2">
        <f>ROUND((G2*($A$5/C2)*10^8),3)</f>
        <v>1.956</v>
      </c>
    </row>
    <row r="3" spans="1:8" x14ac:dyDescent="0.25">
      <c r="A3" t="s">
        <v>23</v>
      </c>
      <c r="B3">
        <v>2</v>
      </c>
      <c r="C3">
        <v>0.05</v>
      </c>
      <c r="D3">
        <v>0.02</v>
      </c>
      <c r="E3">
        <v>1</v>
      </c>
      <c r="F3" t="s">
        <v>9</v>
      </c>
      <c r="G3">
        <f t="shared" ref="G3:G12" si="0">D3/E3</f>
        <v>0.02</v>
      </c>
      <c r="H3">
        <f t="shared" ref="H3:H12" si="1">ROUND((G3*($A$5/C3)*10^8),3)</f>
        <v>1.9630000000000001</v>
      </c>
    </row>
    <row r="4" spans="1:8" x14ac:dyDescent="0.25">
      <c r="A4" t="s">
        <v>29</v>
      </c>
      <c r="B4">
        <v>3</v>
      </c>
      <c r="C4">
        <v>0.1</v>
      </c>
      <c r="D4">
        <v>3.7999999999999999E-2</v>
      </c>
      <c r="E4">
        <v>1</v>
      </c>
      <c r="F4" t="s">
        <v>9</v>
      </c>
      <c r="G4">
        <f t="shared" si="0"/>
        <v>3.7999999999999999E-2</v>
      </c>
      <c r="H4">
        <f t="shared" si="1"/>
        <v>1.865</v>
      </c>
    </row>
    <row r="5" spans="1:8" x14ac:dyDescent="0.25">
      <c r="A5">
        <f>PI()*(0.00025/2)^2</f>
        <v>4.9087385212340514E-8</v>
      </c>
      <c r="B5">
        <v>4</v>
      </c>
      <c r="C5">
        <v>0.15</v>
      </c>
      <c r="D5">
        <v>5.8000000000000003E-2</v>
      </c>
      <c r="E5">
        <v>1</v>
      </c>
      <c r="F5" t="s">
        <v>9</v>
      </c>
      <c r="G5">
        <f t="shared" si="0"/>
        <v>5.8000000000000003E-2</v>
      </c>
      <c r="H5">
        <f t="shared" si="1"/>
        <v>1.8979999999999999</v>
      </c>
    </row>
    <row r="6" spans="1:8" x14ac:dyDescent="0.25">
      <c r="B6">
        <v>5</v>
      </c>
      <c r="C6">
        <v>0.2</v>
      </c>
      <c r="D6">
        <v>7.8E-2</v>
      </c>
      <c r="E6">
        <v>1</v>
      </c>
      <c r="F6" t="s">
        <v>9</v>
      </c>
      <c r="G6">
        <f t="shared" si="0"/>
        <v>7.8E-2</v>
      </c>
      <c r="H6">
        <f t="shared" si="1"/>
        <v>1.9139999999999999</v>
      </c>
    </row>
    <row r="7" spans="1:8" x14ac:dyDescent="0.25">
      <c r="B7">
        <v>6</v>
      </c>
      <c r="C7">
        <v>0.25</v>
      </c>
      <c r="D7">
        <v>0.1</v>
      </c>
      <c r="E7">
        <v>1</v>
      </c>
      <c r="F7" t="s">
        <v>9</v>
      </c>
      <c r="G7">
        <f t="shared" si="0"/>
        <v>0.1</v>
      </c>
      <c r="H7">
        <f t="shared" si="1"/>
        <v>1.9630000000000001</v>
      </c>
    </row>
    <row r="8" spans="1:8" x14ac:dyDescent="0.25">
      <c r="B8">
        <v>7</v>
      </c>
      <c r="C8">
        <v>0.3</v>
      </c>
      <c r="D8">
        <v>0.11799999999999999</v>
      </c>
      <c r="E8">
        <v>1</v>
      </c>
      <c r="F8" t="s">
        <v>9</v>
      </c>
      <c r="G8">
        <f t="shared" si="0"/>
        <v>0.11799999999999999</v>
      </c>
      <c r="H8">
        <f t="shared" si="1"/>
        <v>1.931</v>
      </c>
    </row>
    <row r="9" spans="1:8" x14ac:dyDescent="0.25">
      <c r="B9">
        <v>8</v>
      </c>
      <c r="C9">
        <v>0.35</v>
      </c>
      <c r="D9">
        <v>0.14000000000000001</v>
      </c>
      <c r="E9">
        <v>1</v>
      </c>
      <c r="F9" t="s">
        <v>9</v>
      </c>
      <c r="G9">
        <f t="shared" si="0"/>
        <v>0.14000000000000001</v>
      </c>
      <c r="H9">
        <f t="shared" si="1"/>
        <v>1.9630000000000001</v>
      </c>
    </row>
    <row r="10" spans="1:8" x14ac:dyDescent="0.25">
      <c r="B10">
        <v>9</v>
      </c>
      <c r="C10">
        <v>0.4</v>
      </c>
      <c r="D10">
        <v>0.157</v>
      </c>
      <c r="E10">
        <v>1</v>
      </c>
      <c r="F10" t="s">
        <v>9</v>
      </c>
      <c r="G10">
        <f t="shared" si="0"/>
        <v>0.157</v>
      </c>
      <c r="H10">
        <f t="shared" si="1"/>
        <v>1.927</v>
      </c>
    </row>
    <row r="11" spans="1:8" x14ac:dyDescent="0.25">
      <c r="B11">
        <v>10</v>
      </c>
      <c r="C11">
        <v>0.45</v>
      </c>
      <c r="D11">
        <v>0.17799999999999999</v>
      </c>
      <c r="E11">
        <v>1</v>
      </c>
      <c r="F11" t="s">
        <v>9</v>
      </c>
      <c r="G11">
        <f t="shared" si="0"/>
        <v>0.17799999999999999</v>
      </c>
      <c r="H11">
        <f t="shared" si="1"/>
        <v>1.9419999999999999</v>
      </c>
    </row>
    <row r="12" spans="1:8" x14ac:dyDescent="0.25">
      <c r="B12">
        <v>11</v>
      </c>
      <c r="C12">
        <v>0.5</v>
      </c>
      <c r="D12">
        <v>0.19600000000000001</v>
      </c>
      <c r="E12">
        <v>1</v>
      </c>
      <c r="F12" t="s">
        <v>9</v>
      </c>
      <c r="G12">
        <f t="shared" si="0"/>
        <v>0.19600000000000001</v>
      </c>
      <c r="H12">
        <f t="shared" si="1"/>
        <v>1.9239999999999999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Teil 1</vt:lpstr>
      <vt:lpstr>Teil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 Jacob</dc:creator>
  <cp:lastModifiedBy>Oskar Gentner</cp:lastModifiedBy>
  <dcterms:created xsi:type="dcterms:W3CDTF">2026-09-25T07:29:15Z</dcterms:created>
  <dcterms:modified xsi:type="dcterms:W3CDTF">2026-09-25T11:13:13Z</dcterms:modified>
</cp:coreProperties>
</file>