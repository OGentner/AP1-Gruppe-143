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26945bea7d3965/UNI/AP1/GitHub/AP1-Gruppe-143/"/>
    </mc:Choice>
  </mc:AlternateContent>
  <xr:revisionPtr revIDLastSave="75" documentId="8_{729B160A-1DE6-4DC4-9A8A-4CDF623622D0}" xr6:coauthVersionLast="47" xr6:coauthVersionMax="47" xr10:uidLastSave="{2A524A4C-3AAC-4094-A0BD-386D2B932431}"/>
  <bookViews>
    <workbookView xWindow="-109" yWindow="-109" windowWidth="30648" windowHeight="18517" activeTab="3" xr2:uid="{579B69CA-20DC-4D38-A6C3-75478BE869BA}"/>
  </bookViews>
  <sheets>
    <sheet name="MessungT1" sheetId="1" r:id="rId1"/>
    <sheet name="Messung2" sheetId="2" r:id="rId2"/>
    <sheet name="Parameter" sheetId="3" r:id="rId3"/>
    <sheet name="Heliu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" i="4"/>
  <c r="C10" i="2"/>
  <c r="C11" i="2"/>
  <c r="C3" i="2"/>
  <c r="C4" i="2"/>
  <c r="C5" i="2"/>
  <c r="C6" i="2"/>
  <c r="C7" i="2"/>
  <c r="C8" i="2"/>
  <c r="C9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<sst xmlns="http://schemas.openxmlformats.org/spreadsheetml/2006/main" count="20" uniqueCount="16">
  <si>
    <t>Messung</t>
  </si>
  <si>
    <t>Zeit [s]</t>
  </si>
  <si>
    <t>Periodendauer (s)</t>
  </si>
  <si>
    <t>Perioden</t>
  </si>
  <si>
    <t>Dauer (s)</t>
  </si>
  <si>
    <t>6min</t>
  </si>
  <si>
    <t xml:space="preserve">32,7sek </t>
  </si>
  <si>
    <t>3 min</t>
  </si>
  <si>
    <t>16,37sek</t>
  </si>
  <si>
    <t>Duck</t>
  </si>
  <si>
    <t>mbar</t>
  </si>
  <si>
    <t>Durchmesser</t>
  </si>
  <si>
    <t>mm</t>
  </si>
  <si>
    <t>Massee</t>
  </si>
  <si>
    <t>g</t>
  </si>
  <si>
    <t>(Rechtecksverteil)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</si>
</sst>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092A-0E89-4722-870C-C1B74DD39C8B}">
  <dimension ref="A1:C51"/>
  <sheetViews>
    <sheetView topLeftCell="A4" workbookViewId="0">
      <selection activeCell="B52" sqref="B52"/>
    </sheetView>
  </sheetViews>
  <sheetFormatPr baseColWidth="10" defaultRowHeight="14.3" x14ac:dyDescent="0.25"/>
  <cols>
    <col min="3" max="3" width="15.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3.54</v>
      </c>
      <c r="C2">
        <f>B2/10</f>
        <v>0.35399999999999998</v>
      </c>
    </row>
    <row r="3" spans="1:3" x14ac:dyDescent="0.25">
      <c r="A3">
        <v>2</v>
      </c>
      <c r="B3">
        <v>3.6</v>
      </c>
      <c r="C3">
        <f t="shared" ref="C3:C51" si="0">B3/10</f>
        <v>0.36</v>
      </c>
    </row>
    <row r="4" spans="1:3" x14ac:dyDescent="0.25">
      <c r="A4">
        <v>3</v>
      </c>
      <c r="B4">
        <v>3.65</v>
      </c>
      <c r="C4">
        <f t="shared" si="0"/>
        <v>0.36499999999999999</v>
      </c>
    </row>
    <row r="5" spans="1:3" x14ac:dyDescent="0.25">
      <c r="A5">
        <v>4</v>
      </c>
      <c r="B5">
        <v>3.61</v>
      </c>
      <c r="C5">
        <f t="shared" si="0"/>
        <v>0.36099999999999999</v>
      </c>
    </row>
    <row r="6" spans="1:3" x14ac:dyDescent="0.25">
      <c r="A6">
        <v>5</v>
      </c>
      <c r="B6">
        <v>3.64</v>
      </c>
      <c r="C6">
        <f t="shared" si="0"/>
        <v>0.36399999999999999</v>
      </c>
    </row>
    <row r="7" spans="1:3" x14ac:dyDescent="0.25">
      <c r="A7">
        <v>6</v>
      </c>
      <c r="B7">
        <v>3.68</v>
      </c>
      <c r="C7">
        <f t="shared" si="0"/>
        <v>0.36799999999999999</v>
      </c>
    </row>
    <row r="8" spans="1:3" x14ac:dyDescent="0.25">
      <c r="A8">
        <v>7</v>
      </c>
      <c r="B8">
        <v>3.67</v>
      </c>
      <c r="C8">
        <f t="shared" si="0"/>
        <v>0.36699999999999999</v>
      </c>
    </row>
    <row r="9" spans="1:3" x14ac:dyDescent="0.25">
      <c r="A9">
        <v>8</v>
      </c>
      <c r="B9">
        <v>3.69</v>
      </c>
      <c r="C9">
        <f t="shared" si="0"/>
        <v>0.36899999999999999</v>
      </c>
    </row>
    <row r="10" spans="1:3" x14ac:dyDescent="0.25">
      <c r="A10">
        <v>9</v>
      </c>
      <c r="B10">
        <v>3.61</v>
      </c>
      <c r="C10">
        <f t="shared" si="0"/>
        <v>0.36099999999999999</v>
      </c>
    </row>
    <row r="11" spans="1:3" x14ac:dyDescent="0.25">
      <c r="A11">
        <v>10</v>
      </c>
      <c r="B11">
        <v>3.61</v>
      </c>
      <c r="C11">
        <f t="shared" si="0"/>
        <v>0.36099999999999999</v>
      </c>
    </row>
    <row r="12" spans="1:3" x14ac:dyDescent="0.25">
      <c r="A12">
        <v>11</v>
      </c>
      <c r="B12">
        <v>3.56</v>
      </c>
      <c r="C12">
        <f t="shared" si="0"/>
        <v>0.35599999999999998</v>
      </c>
    </row>
    <row r="13" spans="1:3" x14ac:dyDescent="0.25">
      <c r="A13">
        <v>12</v>
      </c>
      <c r="B13">
        <v>3.58</v>
      </c>
      <c r="C13">
        <f t="shared" si="0"/>
        <v>0.35799999999999998</v>
      </c>
    </row>
    <row r="14" spans="1:3" x14ac:dyDescent="0.25">
      <c r="A14">
        <v>13</v>
      </c>
      <c r="B14">
        <v>3.71</v>
      </c>
      <c r="C14">
        <f t="shared" si="0"/>
        <v>0.371</v>
      </c>
    </row>
    <row r="15" spans="1:3" x14ac:dyDescent="0.25">
      <c r="A15">
        <v>14</v>
      </c>
      <c r="B15">
        <v>3.59</v>
      </c>
      <c r="C15">
        <f t="shared" si="0"/>
        <v>0.35899999999999999</v>
      </c>
    </row>
    <row r="16" spans="1:3" x14ac:dyDescent="0.25">
      <c r="A16">
        <v>15</v>
      </c>
      <c r="B16">
        <v>3.56</v>
      </c>
      <c r="C16">
        <f t="shared" si="0"/>
        <v>0.35599999999999998</v>
      </c>
    </row>
    <row r="17" spans="1:3" x14ac:dyDescent="0.25">
      <c r="A17">
        <v>16</v>
      </c>
      <c r="B17">
        <v>3.53</v>
      </c>
      <c r="C17">
        <f t="shared" si="0"/>
        <v>0.35299999999999998</v>
      </c>
    </row>
    <row r="18" spans="1:3" x14ac:dyDescent="0.25">
      <c r="A18">
        <v>17</v>
      </c>
      <c r="B18">
        <v>3.57</v>
      </c>
      <c r="C18">
        <f t="shared" si="0"/>
        <v>0.35699999999999998</v>
      </c>
    </row>
    <row r="19" spans="1:3" x14ac:dyDescent="0.25">
      <c r="A19">
        <v>18</v>
      </c>
      <c r="B19">
        <v>3.56</v>
      </c>
      <c r="C19">
        <f t="shared" si="0"/>
        <v>0.35599999999999998</v>
      </c>
    </row>
    <row r="20" spans="1:3" x14ac:dyDescent="0.25">
      <c r="A20">
        <v>19</v>
      </c>
      <c r="B20">
        <v>3.65</v>
      </c>
      <c r="C20">
        <f t="shared" si="0"/>
        <v>0.36499999999999999</v>
      </c>
    </row>
    <row r="21" spans="1:3" x14ac:dyDescent="0.25">
      <c r="A21">
        <v>20</v>
      </c>
      <c r="B21">
        <v>3.66</v>
      </c>
      <c r="C21">
        <f t="shared" si="0"/>
        <v>0.36599999999999999</v>
      </c>
    </row>
    <row r="22" spans="1:3" x14ac:dyDescent="0.25">
      <c r="A22">
        <v>21</v>
      </c>
      <c r="B22">
        <v>3.34</v>
      </c>
      <c r="C22">
        <f t="shared" si="0"/>
        <v>0.33399999999999996</v>
      </c>
    </row>
    <row r="23" spans="1:3" x14ac:dyDescent="0.25">
      <c r="A23">
        <v>22</v>
      </c>
      <c r="B23">
        <v>3.46</v>
      </c>
      <c r="C23">
        <f t="shared" si="0"/>
        <v>0.34599999999999997</v>
      </c>
    </row>
    <row r="24" spans="1:3" x14ac:dyDescent="0.25">
      <c r="A24">
        <v>23</v>
      </c>
      <c r="B24">
        <v>3.49</v>
      </c>
      <c r="C24">
        <f t="shared" si="0"/>
        <v>0.34900000000000003</v>
      </c>
    </row>
    <row r="25" spans="1:3" x14ac:dyDescent="0.25">
      <c r="A25">
        <v>24</v>
      </c>
      <c r="B25">
        <v>3.57</v>
      </c>
      <c r="C25">
        <f t="shared" si="0"/>
        <v>0.35699999999999998</v>
      </c>
    </row>
    <row r="26" spans="1:3" x14ac:dyDescent="0.25">
      <c r="A26">
        <v>25</v>
      </c>
      <c r="B26">
        <v>3.55</v>
      </c>
      <c r="C26">
        <f t="shared" si="0"/>
        <v>0.35499999999999998</v>
      </c>
    </row>
    <row r="27" spans="1:3" x14ac:dyDescent="0.25">
      <c r="A27">
        <v>26</v>
      </c>
      <c r="B27">
        <v>3.58</v>
      </c>
      <c r="C27">
        <f t="shared" si="0"/>
        <v>0.35799999999999998</v>
      </c>
    </row>
    <row r="28" spans="1:3" x14ac:dyDescent="0.25">
      <c r="A28">
        <v>27</v>
      </c>
      <c r="B28">
        <v>3.35</v>
      </c>
      <c r="C28">
        <f t="shared" si="0"/>
        <v>0.33500000000000002</v>
      </c>
    </row>
    <row r="29" spans="1:3" x14ac:dyDescent="0.25">
      <c r="A29">
        <v>28</v>
      </c>
      <c r="B29">
        <v>3.67</v>
      </c>
      <c r="C29">
        <f t="shared" si="0"/>
        <v>0.36699999999999999</v>
      </c>
    </row>
    <row r="30" spans="1:3" x14ac:dyDescent="0.25">
      <c r="A30">
        <v>29</v>
      </c>
      <c r="B30">
        <v>3.68</v>
      </c>
      <c r="C30">
        <f t="shared" si="0"/>
        <v>0.36799999999999999</v>
      </c>
    </row>
    <row r="31" spans="1:3" x14ac:dyDescent="0.25">
      <c r="A31">
        <v>30</v>
      </c>
      <c r="B31">
        <v>3.64</v>
      </c>
      <c r="C31">
        <f t="shared" si="0"/>
        <v>0.36399999999999999</v>
      </c>
    </row>
    <row r="32" spans="1:3" x14ac:dyDescent="0.25">
      <c r="A32">
        <v>31</v>
      </c>
      <c r="B32">
        <v>3.66</v>
      </c>
      <c r="C32">
        <f t="shared" si="0"/>
        <v>0.36599999999999999</v>
      </c>
    </row>
    <row r="33" spans="1:3" x14ac:dyDescent="0.25">
      <c r="A33">
        <v>32</v>
      </c>
      <c r="B33">
        <v>3.52</v>
      </c>
      <c r="C33">
        <f t="shared" si="0"/>
        <v>0.35199999999999998</v>
      </c>
    </row>
    <row r="34" spans="1:3" x14ac:dyDescent="0.25">
      <c r="A34">
        <v>33</v>
      </c>
      <c r="B34">
        <v>3.62</v>
      </c>
      <c r="C34">
        <f t="shared" si="0"/>
        <v>0.36199999999999999</v>
      </c>
    </row>
    <row r="35" spans="1:3" x14ac:dyDescent="0.25">
      <c r="A35">
        <v>34</v>
      </c>
      <c r="B35">
        <v>3.59</v>
      </c>
      <c r="C35">
        <f t="shared" si="0"/>
        <v>0.35899999999999999</v>
      </c>
    </row>
    <row r="36" spans="1:3" x14ac:dyDescent="0.25">
      <c r="A36">
        <v>35</v>
      </c>
      <c r="B36">
        <v>3.6</v>
      </c>
      <c r="C36">
        <f t="shared" si="0"/>
        <v>0.36</v>
      </c>
    </row>
    <row r="37" spans="1:3" x14ac:dyDescent="0.25">
      <c r="A37">
        <v>36</v>
      </c>
      <c r="B37">
        <v>3.6</v>
      </c>
      <c r="C37">
        <f t="shared" si="0"/>
        <v>0.36</v>
      </c>
    </row>
    <row r="38" spans="1:3" x14ac:dyDescent="0.25">
      <c r="A38">
        <v>37</v>
      </c>
      <c r="B38">
        <v>3.68</v>
      </c>
      <c r="C38">
        <f t="shared" si="0"/>
        <v>0.36799999999999999</v>
      </c>
    </row>
    <row r="39" spans="1:3" x14ac:dyDescent="0.25">
      <c r="A39">
        <v>38</v>
      </c>
      <c r="B39">
        <v>3.57</v>
      </c>
      <c r="C39">
        <f t="shared" si="0"/>
        <v>0.35699999999999998</v>
      </c>
    </row>
    <row r="40" spans="1:3" x14ac:dyDescent="0.25">
      <c r="A40">
        <v>39</v>
      </c>
      <c r="B40">
        <v>3.55</v>
      </c>
      <c r="C40">
        <f t="shared" si="0"/>
        <v>0.35499999999999998</v>
      </c>
    </row>
    <row r="41" spans="1:3" x14ac:dyDescent="0.25">
      <c r="A41">
        <v>40</v>
      </c>
      <c r="B41">
        <v>3.59</v>
      </c>
      <c r="C41">
        <f t="shared" si="0"/>
        <v>0.35899999999999999</v>
      </c>
    </row>
    <row r="42" spans="1:3" x14ac:dyDescent="0.25">
      <c r="A42">
        <v>41</v>
      </c>
      <c r="B42">
        <v>3.62</v>
      </c>
      <c r="C42">
        <f t="shared" si="0"/>
        <v>0.36199999999999999</v>
      </c>
    </row>
    <row r="43" spans="1:3" x14ac:dyDescent="0.25">
      <c r="A43">
        <v>42</v>
      </c>
      <c r="B43">
        <v>3.66</v>
      </c>
      <c r="C43">
        <f t="shared" si="0"/>
        <v>0.36599999999999999</v>
      </c>
    </row>
    <row r="44" spans="1:3" x14ac:dyDescent="0.25">
      <c r="A44">
        <v>43</v>
      </c>
      <c r="B44">
        <v>3.59</v>
      </c>
      <c r="C44">
        <f t="shared" si="0"/>
        <v>0.35899999999999999</v>
      </c>
    </row>
    <row r="45" spans="1:3" x14ac:dyDescent="0.25">
      <c r="A45">
        <v>44</v>
      </c>
      <c r="B45">
        <v>3.52</v>
      </c>
      <c r="C45">
        <f t="shared" si="0"/>
        <v>0.35199999999999998</v>
      </c>
    </row>
    <row r="46" spans="1:3" x14ac:dyDescent="0.25">
      <c r="A46">
        <v>45</v>
      </c>
      <c r="B46">
        <v>3.85</v>
      </c>
      <c r="C46">
        <f t="shared" si="0"/>
        <v>0.38500000000000001</v>
      </c>
    </row>
    <row r="47" spans="1:3" x14ac:dyDescent="0.25">
      <c r="A47">
        <v>46</v>
      </c>
      <c r="B47">
        <v>3.67</v>
      </c>
      <c r="C47">
        <f t="shared" si="0"/>
        <v>0.36699999999999999</v>
      </c>
    </row>
    <row r="48" spans="1:3" x14ac:dyDescent="0.25">
      <c r="A48">
        <v>47</v>
      </c>
      <c r="B48">
        <v>3.65</v>
      </c>
      <c r="C48">
        <f t="shared" si="0"/>
        <v>0.36499999999999999</v>
      </c>
    </row>
    <row r="49" spans="1:3" x14ac:dyDescent="0.25">
      <c r="A49">
        <v>48</v>
      </c>
      <c r="B49">
        <v>3.7</v>
      </c>
      <c r="C49">
        <f t="shared" si="0"/>
        <v>0.37</v>
      </c>
    </row>
    <row r="50" spans="1:3" x14ac:dyDescent="0.25">
      <c r="A50">
        <v>49</v>
      </c>
      <c r="B50">
        <v>3.61</v>
      </c>
      <c r="C50">
        <f t="shared" si="0"/>
        <v>0.36099999999999999</v>
      </c>
    </row>
    <row r="51" spans="1:3" x14ac:dyDescent="0.25">
      <c r="A51">
        <v>50</v>
      </c>
      <c r="B51">
        <v>3.61</v>
      </c>
      <c r="C51">
        <f t="shared" si="0"/>
        <v>0.36099999999999999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0DC7-270E-4EFE-99A2-489BEC52629A}">
  <dimension ref="A1:E11"/>
  <sheetViews>
    <sheetView zoomScale="234" workbookViewId="0">
      <selection activeCell="B12" sqref="B12"/>
    </sheetView>
  </sheetViews>
  <sheetFormatPr baseColWidth="10" defaultRowHeight="14.3" x14ac:dyDescent="0.25"/>
  <sheetData>
    <row r="1" spans="1:5" x14ac:dyDescent="0.25">
      <c r="A1" t="s">
        <v>3</v>
      </c>
      <c r="B1" t="s">
        <v>4</v>
      </c>
      <c r="C1" t="s">
        <v>2</v>
      </c>
    </row>
    <row r="2" spans="1:5" x14ac:dyDescent="0.25">
      <c r="A2">
        <v>1</v>
      </c>
      <c r="B2">
        <v>0.2</v>
      </c>
      <c r="C2">
        <f>B2/A2</f>
        <v>0.2</v>
      </c>
    </row>
    <row r="3" spans="1:5" x14ac:dyDescent="0.25">
      <c r="A3">
        <v>2</v>
      </c>
      <c r="B3">
        <v>0.59</v>
      </c>
      <c r="C3">
        <f t="shared" ref="C3:C8" si="0">B3/A3</f>
        <v>0.29499999999999998</v>
      </c>
    </row>
    <row r="4" spans="1:5" x14ac:dyDescent="0.25">
      <c r="A4">
        <v>5</v>
      </c>
      <c r="B4">
        <v>1.68</v>
      </c>
      <c r="C4">
        <f t="shared" si="0"/>
        <v>0.33599999999999997</v>
      </c>
    </row>
    <row r="5" spans="1:5" x14ac:dyDescent="0.25">
      <c r="A5">
        <v>10</v>
      </c>
      <c r="B5">
        <v>3.58</v>
      </c>
      <c r="C5">
        <f t="shared" si="0"/>
        <v>0.35799999999999998</v>
      </c>
    </row>
    <row r="6" spans="1:5" x14ac:dyDescent="0.25">
      <c r="A6">
        <v>20</v>
      </c>
      <c r="B6">
        <v>7.58</v>
      </c>
      <c r="C6">
        <f t="shared" si="0"/>
        <v>0.379</v>
      </c>
    </row>
    <row r="7" spans="1:5" x14ac:dyDescent="0.25">
      <c r="A7">
        <v>50</v>
      </c>
      <c r="B7">
        <v>19.32</v>
      </c>
      <c r="C7">
        <f t="shared" si="0"/>
        <v>0.38640000000000002</v>
      </c>
    </row>
    <row r="8" spans="1:5" x14ac:dyDescent="0.25">
      <c r="A8">
        <v>100</v>
      </c>
      <c r="B8">
        <v>38.950000000000003</v>
      </c>
      <c r="C8">
        <f t="shared" si="0"/>
        <v>0.38950000000000001</v>
      </c>
    </row>
    <row r="9" spans="1:5" x14ac:dyDescent="0.25">
      <c r="A9">
        <v>200</v>
      </c>
      <c r="B9">
        <v>78.33</v>
      </c>
      <c r="C9">
        <f>B9/A9</f>
        <v>0.39165</v>
      </c>
    </row>
    <row r="10" spans="1:5" x14ac:dyDescent="0.25">
      <c r="A10">
        <v>500</v>
      </c>
      <c r="B10">
        <v>196.37</v>
      </c>
      <c r="C10">
        <f>B10/A10</f>
        <v>0.39274000000000003</v>
      </c>
      <c r="D10" t="s">
        <v>7</v>
      </c>
      <c r="E10" t="s">
        <v>8</v>
      </c>
    </row>
    <row r="11" spans="1:5" x14ac:dyDescent="0.25">
      <c r="A11">
        <v>1000</v>
      </c>
      <c r="B11">
        <v>392.7</v>
      </c>
      <c r="C11">
        <f>B11/A11</f>
        <v>0.39269999999999999</v>
      </c>
      <c r="D11" t="s">
        <v>5</v>
      </c>
      <c r="E11" t="s">
        <v>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37CF-3DF3-493D-9223-3281EEE7C2F2}">
  <dimension ref="A1:D3"/>
  <sheetViews>
    <sheetView workbookViewId="0">
      <selection activeCell="C4" sqref="C4"/>
    </sheetView>
  </sheetViews>
  <sheetFormatPr baseColWidth="10" defaultRowHeight="14.3" x14ac:dyDescent="0.25"/>
  <sheetData>
    <row r="1" spans="1:4" x14ac:dyDescent="0.25">
      <c r="A1" t="s">
        <v>9</v>
      </c>
      <c r="B1">
        <v>990.5</v>
      </c>
      <c r="C1">
        <v>0.5</v>
      </c>
      <c r="D1" t="s">
        <v>10</v>
      </c>
    </row>
    <row r="2" spans="1:4" x14ac:dyDescent="0.25">
      <c r="A2" t="s">
        <v>11</v>
      </c>
      <c r="B2">
        <v>13.8</v>
      </c>
      <c r="C2">
        <v>0.05</v>
      </c>
      <c r="D2" t="s">
        <v>12</v>
      </c>
    </row>
    <row r="3" spans="1:4" x14ac:dyDescent="0.25">
      <c r="A3" t="s">
        <v>13</v>
      </c>
      <c r="B3">
        <v>5.67</v>
      </c>
      <c r="C3" t="s">
        <v>15</v>
      </c>
      <c r="D3" t="s">
        <v>14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D359-B4BE-4771-80DE-264027AED78A}">
  <dimension ref="A1:C2"/>
  <sheetViews>
    <sheetView tabSelected="1" workbookViewId="0">
      <selection activeCell="D9" sqref="D9"/>
    </sheetView>
  </sheetViews>
  <sheetFormatPr baseColWidth="10" defaultRowHeight="14.3" x14ac:dyDescent="0.25"/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600</v>
      </c>
      <c r="B2">
        <v>231.92</v>
      </c>
      <c r="C2">
        <f>B2/A2</f>
        <v>0.38653333333333334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MessungT1</vt:lpstr>
      <vt:lpstr>Messung2</vt:lpstr>
      <vt:lpstr>Parameter</vt:lpstr>
      <vt:lpstr>Helium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Gentner</dc:creator>
  <cp:lastModifiedBy>Oskar Gentner</cp:lastModifiedBy>
  <dcterms:created xsi:type="dcterms:W3CDTF">2026-09-23T07:12:54Z</dcterms:created>
  <dcterms:modified xsi:type="dcterms:W3CDTF">2026-09-23T11:27:11Z</dcterms:modified>
</cp:coreProperties>
</file>